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mp Working Files\Maloney\"/>
    </mc:Choice>
  </mc:AlternateContent>
  <xr:revisionPtr revIDLastSave="0" documentId="8_{196F3FD8-E058-46FF-B348-B0E46EC4AC5C}" xr6:coauthVersionLast="47" xr6:coauthVersionMax="47" xr10:uidLastSave="{00000000-0000-0000-0000-000000000000}"/>
  <bookViews>
    <workbookView xWindow="-120" yWindow="-120" windowWidth="25440" windowHeight="15390" activeTab="3" xr2:uid="{5F9F225B-4BC1-404B-B8B2-337414CFAEF9}"/>
  </bookViews>
  <sheets>
    <sheet name="Repro" sheetId="1" r:id="rId1"/>
    <sheet name="CI" sheetId="2" r:id="rId2"/>
    <sheet name="Dermo" sheetId="3" r:id="rId3"/>
    <sheet name="W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0" i="3" l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09" i="3"/>
  <c r="C108" i="3"/>
  <c r="C93" i="3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65" i="3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64" i="3"/>
  <c r="C63" i="3"/>
  <c r="C48" i="3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35" i="3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34" i="3"/>
  <c r="C33" i="3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L120" i="2"/>
  <c r="K120" i="2"/>
  <c r="K119" i="2"/>
  <c r="L119" i="2" s="1"/>
  <c r="L118" i="2"/>
  <c r="K118" i="2"/>
  <c r="K117" i="2"/>
  <c r="L117" i="2" s="1"/>
  <c r="L116" i="2"/>
  <c r="K116" i="2"/>
  <c r="K115" i="2"/>
  <c r="L115" i="2" s="1"/>
  <c r="L114" i="2"/>
  <c r="K114" i="2"/>
  <c r="K113" i="2"/>
  <c r="L113" i="2" s="1"/>
  <c r="L112" i="2"/>
  <c r="K112" i="2"/>
  <c r="K111" i="2"/>
  <c r="L111" i="2" s="1"/>
  <c r="L110" i="2"/>
  <c r="K110" i="2"/>
  <c r="K109" i="2"/>
  <c r="L109" i="2" s="1"/>
  <c r="L108" i="2"/>
  <c r="K108" i="2"/>
  <c r="C108" i="2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K107" i="2"/>
  <c r="L107" i="2" s="1"/>
  <c r="K106" i="2"/>
  <c r="L106" i="2" s="1"/>
  <c r="L105" i="2"/>
  <c r="K105" i="2"/>
  <c r="K104" i="2"/>
  <c r="L104" i="2" s="1"/>
  <c r="L103" i="2"/>
  <c r="K103" i="2"/>
  <c r="K102" i="2"/>
  <c r="L102" i="2" s="1"/>
  <c r="L101" i="2"/>
  <c r="K101" i="2"/>
  <c r="K100" i="2"/>
  <c r="L100" i="2" s="1"/>
  <c r="L99" i="2"/>
  <c r="K99" i="2"/>
  <c r="K98" i="2"/>
  <c r="L98" i="2" s="1"/>
  <c r="L97" i="2"/>
  <c r="K97" i="2"/>
  <c r="K96" i="2"/>
  <c r="L96" i="2" s="1"/>
  <c r="L95" i="2"/>
  <c r="K95" i="2"/>
  <c r="K94" i="2"/>
  <c r="L94" i="2" s="1"/>
  <c r="L93" i="2"/>
  <c r="K93" i="2"/>
  <c r="C93" i="2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K92" i="2"/>
  <c r="L92" i="2" s="1"/>
  <c r="K91" i="2"/>
  <c r="L91" i="2" s="1"/>
  <c r="L90" i="2"/>
  <c r="K90" i="2"/>
  <c r="K89" i="2"/>
  <c r="L89" i="2" s="1"/>
  <c r="L88" i="2"/>
  <c r="K88" i="2"/>
  <c r="K87" i="2"/>
  <c r="L87" i="2" s="1"/>
  <c r="L86" i="2"/>
  <c r="K86" i="2"/>
  <c r="K85" i="2"/>
  <c r="L85" i="2" s="1"/>
  <c r="L84" i="2"/>
  <c r="K84" i="2"/>
  <c r="K83" i="2"/>
  <c r="L83" i="2" s="1"/>
  <c r="L82" i="2"/>
  <c r="K82" i="2"/>
  <c r="K81" i="2"/>
  <c r="L81" i="2" s="1"/>
  <c r="L80" i="2"/>
  <c r="K80" i="2"/>
  <c r="K79" i="2"/>
  <c r="L79" i="2" s="1"/>
  <c r="L78" i="2"/>
  <c r="K78" i="2"/>
  <c r="C78" i="2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K77" i="2"/>
  <c r="L77" i="2" s="1"/>
  <c r="K76" i="2"/>
  <c r="L76" i="2" s="1"/>
  <c r="L75" i="2"/>
  <c r="K75" i="2"/>
  <c r="K74" i="2"/>
  <c r="L74" i="2" s="1"/>
  <c r="L73" i="2"/>
  <c r="K73" i="2"/>
  <c r="L72" i="2"/>
  <c r="K72" i="2"/>
  <c r="K71" i="2"/>
  <c r="L71" i="2" s="1"/>
  <c r="K70" i="2"/>
  <c r="L70" i="2" s="1"/>
  <c r="L69" i="2"/>
  <c r="K69" i="2"/>
  <c r="K68" i="2"/>
  <c r="L68" i="2" s="1"/>
  <c r="L67" i="2"/>
  <c r="K67" i="2"/>
  <c r="K66" i="2"/>
  <c r="L66" i="2" s="1"/>
  <c r="L65" i="2"/>
  <c r="K65" i="2"/>
  <c r="L64" i="2"/>
  <c r="K64" i="2"/>
  <c r="K63" i="2"/>
  <c r="L63" i="2" s="1"/>
  <c r="C63" i="2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K62" i="2"/>
  <c r="L62" i="2" s="1"/>
  <c r="K61" i="2"/>
  <c r="L61" i="2" s="1"/>
  <c r="K60" i="2"/>
  <c r="L60" i="2" s="1"/>
  <c r="L59" i="2"/>
  <c r="K59" i="2"/>
  <c r="K58" i="2"/>
  <c r="L58" i="2" s="1"/>
  <c r="L57" i="2"/>
  <c r="K57" i="2"/>
  <c r="K56" i="2"/>
  <c r="L56" i="2" s="1"/>
  <c r="K55" i="2"/>
  <c r="L55" i="2" s="1"/>
  <c r="K54" i="2"/>
  <c r="L54" i="2" s="1"/>
  <c r="K53" i="2"/>
  <c r="L53" i="2" s="1"/>
  <c r="K52" i="2"/>
  <c r="L52" i="2" s="1"/>
  <c r="L51" i="2"/>
  <c r="K51" i="2"/>
  <c r="K50" i="2"/>
  <c r="L50" i="2" s="1"/>
  <c r="L49" i="2"/>
  <c r="K49" i="2"/>
  <c r="K48" i="2"/>
  <c r="L48" i="2" s="1"/>
  <c r="K47" i="2"/>
  <c r="L47" i="2" s="1"/>
  <c r="K46" i="2"/>
  <c r="L46" i="2" s="1"/>
  <c r="L45" i="2"/>
  <c r="K45" i="2"/>
  <c r="K44" i="2"/>
  <c r="L44" i="2" s="1"/>
  <c r="L43" i="2"/>
  <c r="K43" i="2"/>
  <c r="K42" i="2"/>
  <c r="L42" i="2" s="1"/>
  <c r="L41" i="2"/>
  <c r="K41" i="2"/>
  <c r="L40" i="2"/>
  <c r="K40" i="2"/>
  <c r="K39" i="2"/>
  <c r="L39" i="2" s="1"/>
  <c r="K38" i="2"/>
  <c r="L38" i="2" s="1"/>
  <c r="L37" i="2"/>
  <c r="K37" i="2"/>
  <c r="K36" i="2"/>
  <c r="L36" i="2" s="1"/>
  <c r="L35" i="2"/>
  <c r="K35" i="2"/>
  <c r="K34" i="2"/>
  <c r="L34" i="2" s="1"/>
  <c r="C34" i="2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L33" i="2"/>
  <c r="K33" i="2"/>
  <c r="C33" i="2"/>
  <c r="L32" i="2"/>
  <c r="K32" i="2"/>
  <c r="K31" i="2"/>
  <c r="L31" i="2" s="1"/>
  <c r="K30" i="2"/>
  <c r="L30" i="2" s="1"/>
  <c r="K29" i="2"/>
  <c r="L29" i="2" s="1"/>
  <c r="K28" i="2"/>
  <c r="L28" i="2" s="1"/>
  <c r="K27" i="2"/>
  <c r="L27" i="2" s="1"/>
  <c r="L26" i="2"/>
  <c r="K26" i="2"/>
  <c r="K25" i="2"/>
  <c r="L25" i="2" s="1"/>
  <c r="L24" i="2"/>
  <c r="K24" i="2"/>
  <c r="K23" i="2"/>
  <c r="L23" i="2" s="1"/>
  <c r="K22" i="2"/>
  <c r="L22" i="2" s="1"/>
  <c r="K21" i="2"/>
  <c r="L21" i="2" s="1"/>
  <c r="K20" i="2"/>
  <c r="L20" i="2" s="1"/>
  <c r="K19" i="2"/>
  <c r="L19" i="2" s="1"/>
  <c r="L18" i="2"/>
  <c r="K18" i="2"/>
  <c r="K17" i="2"/>
  <c r="L17" i="2" s="1"/>
  <c r="L16" i="2"/>
  <c r="K16" i="2"/>
  <c r="K15" i="2"/>
  <c r="L15" i="2" s="1"/>
  <c r="K14" i="2"/>
  <c r="L14" i="2" s="1"/>
  <c r="L13" i="2"/>
  <c r="K13" i="2"/>
  <c r="K12" i="2"/>
  <c r="L12" i="2" s="1"/>
  <c r="L11" i="2"/>
  <c r="K11" i="2"/>
  <c r="K10" i="2"/>
  <c r="L10" i="2" s="1"/>
  <c r="L9" i="2"/>
  <c r="K9" i="2"/>
  <c r="K8" i="2"/>
  <c r="L8" i="2" s="1"/>
  <c r="L7" i="2"/>
  <c r="K7" i="2"/>
  <c r="K6" i="2"/>
  <c r="L6" i="2" s="1"/>
  <c r="L5" i="2"/>
  <c r="K5" i="2"/>
  <c r="K4" i="2"/>
  <c r="L4" i="2" s="1"/>
  <c r="L3" i="2"/>
  <c r="K3" i="2"/>
  <c r="K2" i="2"/>
  <c r="L2" i="2" s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<sst xmlns="http://schemas.openxmlformats.org/spreadsheetml/2006/main" count="752" uniqueCount="124">
  <si>
    <t>Date</t>
  </si>
  <si>
    <t>Sample</t>
  </si>
  <si>
    <t>Height</t>
  </si>
  <si>
    <t>Length</t>
  </si>
  <si>
    <t>Total Area</t>
  </si>
  <si>
    <t>Gonad Area</t>
  </si>
  <si>
    <t>Gonad % Area</t>
  </si>
  <si>
    <t>Sex</t>
  </si>
  <si>
    <t>Stage</t>
  </si>
  <si>
    <t>Average Oocyte Diameter</t>
  </si>
  <si>
    <t>Parasite</t>
  </si>
  <si>
    <t>SLC845</t>
  </si>
  <si>
    <t>Z</t>
  </si>
  <si>
    <t>No</t>
  </si>
  <si>
    <t>SLC848</t>
  </si>
  <si>
    <t>SLC849</t>
  </si>
  <si>
    <t>SLC850</t>
  </si>
  <si>
    <t>SLC852</t>
  </si>
  <si>
    <t>SLC854</t>
  </si>
  <si>
    <t>SLC855</t>
  </si>
  <si>
    <t>SLC856</t>
  </si>
  <si>
    <t>SLC859</t>
  </si>
  <si>
    <t>F</t>
  </si>
  <si>
    <t>SLC861</t>
  </si>
  <si>
    <t>SLC862</t>
  </si>
  <si>
    <t>SLC865</t>
  </si>
  <si>
    <t>SLC866</t>
  </si>
  <si>
    <t>SLC868</t>
  </si>
  <si>
    <t>SLC871</t>
  </si>
  <si>
    <t>SLC873</t>
  </si>
  <si>
    <t>M</t>
  </si>
  <si>
    <t>SLC875</t>
  </si>
  <si>
    <t>SLC877</t>
  </si>
  <si>
    <t>SLC878</t>
  </si>
  <si>
    <t>Yes</t>
  </si>
  <si>
    <t>SLC881</t>
  </si>
  <si>
    <t>SLC883</t>
  </si>
  <si>
    <t>Buceph</t>
  </si>
  <si>
    <t>SLC887</t>
  </si>
  <si>
    <t>SLC889</t>
  </si>
  <si>
    <t>SLC891</t>
  </si>
  <si>
    <t>SLC892</t>
  </si>
  <si>
    <t>SLC896</t>
  </si>
  <si>
    <t>SLC898</t>
  </si>
  <si>
    <t>SLC900</t>
  </si>
  <si>
    <t>SLC901</t>
  </si>
  <si>
    <t>SLC902</t>
  </si>
  <si>
    <t>SLC903</t>
  </si>
  <si>
    <t>SLC905</t>
  </si>
  <si>
    <t>SLC911</t>
  </si>
  <si>
    <t>SLC913</t>
  </si>
  <si>
    <t>SLC914</t>
  </si>
  <si>
    <t>SLC917</t>
  </si>
  <si>
    <t>SLC918</t>
  </si>
  <si>
    <t>SLC921</t>
  </si>
  <si>
    <t>SLC923</t>
  </si>
  <si>
    <t>SLC925</t>
  </si>
  <si>
    <t>SLC926</t>
  </si>
  <si>
    <t>SLC929</t>
  </si>
  <si>
    <t>SLC931</t>
  </si>
  <si>
    <t>SLC932</t>
  </si>
  <si>
    <t>SLC935</t>
  </si>
  <si>
    <t>SLC936</t>
  </si>
  <si>
    <t>SLC937</t>
  </si>
  <si>
    <t>SLC939</t>
  </si>
  <si>
    <t>SLC942</t>
  </si>
  <si>
    <t>SLC947</t>
  </si>
  <si>
    <t>SLC952</t>
  </si>
  <si>
    <t>SLC955</t>
  </si>
  <si>
    <t>SLC956</t>
  </si>
  <si>
    <t>SLC957</t>
  </si>
  <si>
    <t>SLC958</t>
  </si>
  <si>
    <t>SLC959</t>
  </si>
  <si>
    <t>SLC961</t>
  </si>
  <si>
    <t>SLC967</t>
  </si>
  <si>
    <t>SLC968</t>
  </si>
  <si>
    <t>SLC969</t>
  </si>
  <si>
    <t>SLC971</t>
  </si>
  <si>
    <t>SLC972</t>
  </si>
  <si>
    <t>SLC975</t>
  </si>
  <si>
    <t>SLC976</t>
  </si>
  <si>
    <t>SLC978</t>
  </si>
  <si>
    <t>SLC979</t>
  </si>
  <si>
    <t>SLC981</t>
  </si>
  <si>
    <t>SLC983</t>
  </si>
  <si>
    <t>SLC986</t>
  </si>
  <si>
    <t>SLC987</t>
  </si>
  <si>
    <t>SLC992</t>
  </si>
  <si>
    <t>SLC993</t>
  </si>
  <si>
    <t>SLC995</t>
  </si>
  <si>
    <t>SLC997</t>
  </si>
  <si>
    <t>SLC998</t>
  </si>
  <si>
    <t>SLC1002</t>
  </si>
  <si>
    <t>SLC1004</t>
  </si>
  <si>
    <t>SLC1006</t>
  </si>
  <si>
    <t>SLC1007</t>
  </si>
  <si>
    <t>SLC1008</t>
  </si>
  <si>
    <t>SLC1013</t>
  </si>
  <si>
    <t>SLC1014</t>
  </si>
  <si>
    <t>SLC1016</t>
  </si>
  <si>
    <t>SLC1018</t>
  </si>
  <si>
    <t>Site</t>
  </si>
  <si>
    <t>Sample Number</t>
  </si>
  <si>
    <t xml:space="preserve">Station </t>
  </si>
  <si>
    <t>SH (mm)</t>
  </si>
  <si>
    <t>Total Weight (g)</t>
  </si>
  <si>
    <t>Tissue Tare Wt (g)</t>
  </si>
  <si>
    <t>Tissue Wet Wt (g)</t>
  </si>
  <si>
    <t>Tissue Dry Wt (g)</t>
  </si>
  <si>
    <t>Shell Dry Wt (g)</t>
  </si>
  <si>
    <t>Final Tissue Dry Wt (g)</t>
  </si>
  <si>
    <t>Condition Index</t>
  </si>
  <si>
    <t>SL-C</t>
  </si>
  <si>
    <t>Dermo Mantle</t>
  </si>
  <si>
    <t>Dermo Gill</t>
  </si>
  <si>
    <t>Station</t>
  </si>
  <si>
    <t>Time</t>
  </si>
  <si>
    <t>Depth (m)</t>
  </si>
  <si>
    <r>
      <t>Temp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</si>
  <si>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Salinity (ppt)</t>
  </si>
  <si>
    <t>pH</t>
  </si>
  <si>
    <t>DO (mg/L)</t>
  </si>
  <si>
    <t>DO %</t>
  </si>
  <si>
    <t>Secchi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</si>
</sst>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36"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3EA0-6ACA-42F2-8B1B-1BF11F07C6CF}">
  <dimension ref="A1:K85"/>
  <sheetViews>
    <sheetView workbookViewId="0">
      <pane ySplit="1" topLeftCell="A2" activePane="bottomLeft" state="frozen"/>
      <selection pane="bottomLeft" activeCell="M7" sqref="M7"/>
    </sheetView>
  </sheetViews>
  <sheetFormatPr defaultColWidth="9.140625" defaultRowHeight="15" x14ac:dyDescent="0.25"/>
  <cols>
    <col min="1" max="2" width="9.140625" style="2"/>
    <col min="3" max="3" width="9.5703125" style="2" bestFit="1" customWidth="1"/>
    <col min="4" max="4" width="9.28515625" style="2" bestFit="1" customWidth="1"/>
    <col min="5" max="5" width="9.7109375" style="2" bestFit="1" customWidth="1"/>
    <col min="6" max="6" width="11" style="2" bestFit="1" customWidth="1"/>
    <col min="7" max="7" width="12.7109375" style="2" bestFit="1" customWidth="1"/>
    <col min="8" max="9" width="9.140625" style="2"/>
    <col min="10" max="10" width="22.7109375" style="2" bestFit="1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40548</v>
      </c>
      <c r="B2" s="2" t="s">
        <v>11</v>
      </c>
      <c r="C2" s="4">
        <v>10.812236308325403</v>
      </c>
      <c r="D2" s="4">
        <v>9.676875916549859</v>
      </c>
      <c r="E2" s="4">
        <v>86.047622897685955</v>
      </c>
      <c r="F2" s="2">
        <v>0</v>
      </c>
      <c r="G2" s="4">
        <f t="shared" ref="G2:G39" si="0">(F2/E2)*100</f>
        <v>0</v>
      </c>
      <c r="H2" s="2" t="s">
        <v>12</v>
      </c>
      <c r="I2" s="2">
        <v>4</v>
      </c>
      <c r="J2" s="2" t="s">
        <v>12</v>
      </c>
      <c r="K2" s="2" t="s">
        <v>13</v>
      </c>
    </row>
    <row r="3" spans="1:11" x14ac:dyDescent="0.25">
      <c r="A3" s="3">
        <v>40548</v>
      </c>
      <c r="B3" s="2" t="s">
        <v>14</v>
      </c>
      <c r="C3" s="4">
        <v>8.038073226958085</v>
      </c>
      <c r="D3" s="4">
        <v>10.384286240850027</v>
      </c>
      <c r="E3" s="4">
        <v>67.726303412832209</v>
      </c>
      <c r="F3" s="2">
        <v>0</v>
      </c>
      <c r="G3" s="4">
        <f t="shared" si="0"/>
        <v>0</v>
      </c>
      <c r="H3" s="2" t="s">
        <v>12</v>
      </c>
      <c r="I3" s="2">
        <v>4</v>
      </c>
      <c r="J3" s="2" t="s">
        <v>12</v>
      </c>
      <c r="K3" s="2" t="s">
        <v>13</v>
      </c>
    </row>
    <row r="4" spans="1:11" x14ac:dyDescent="0.25">
      <c r="A4" s="3">
        <v>40548</v>
      </c>
      <c r="B4" s="2" t="s">
        <v>15</v>
      </c>
      <c r="C4" s="4">
        <v>6.8378284784289978</v>
      </c>
      <c r="D4" s="4">
        <v>7.6868430038135154</v>
      </c>
      <c r="E4" s="4">
        <v>45.163893343622625</v>
      </c>
      <c r="F4" s="2">
        <v>0</v>
      </c>
      <c r="G4" s="4">
        <f t="shared" si="0"/>
        <v>0</v>
      </c>
      <c r="H4" s="2" t="s">
        <v>12</v>
      </c>
      <c r="I4" s="2">
        <v>4</v>
      </c>
      <c r="J4" s="2" t="s">
        <v>12</v>
      </c>
      <c r="K4" s="2" t="s">
        <v>13</v>
      </c>
    </row>
    <row r="5" spans="1:11" x14ac:dyDescent="0.25">
      <c r="A5" s="3">
        <v>40548</v>
      </c>
      <c r="B5" s="2" t="s">
        <v>16</v>
      </c>
      <c r="C5" s="4">
        <v>6.0015128103532334</v>
      </c>
      <c r="D5" s="4">
        <v>7.0141616336961237</v>
      </c>
      <c r="E5" s="4">
        <v>35.880410115984461</v>
      </c>
      <c r="F5" s="2">
        <v>0</v>
      </c>
      <c r="G5" s="4">
        <f t="shared" si="0"/>
        <v>0</v>
      </c>
      <c r="H5" s="2" t="s">
        <v>12</v>
      </c>
      <c r="I5" s="2">
        <v>4</v>
      </c>
      <c r="J5" s="2" t="s">
        <v>12</v>
      </c>
      <c r="K5" s="2" t="s">
        <v>13</v>
      </c>
    </row>
    <row r="6" spans="1:11" x14ac:dyDescent="0.25">
      <c r="A6" s="3">
        <v>40548</v>
      </c>
      <c r="B6" s="2" t="s">
        <v>17</v>
      </c>
      <c r="C6" s="4">
        <v>8.1314415302413128</v>
      </c>
      <c r="D6" s="4">
        <v>8.2518889973435883</v>
      </c>
      <c r="E6" s="4">
        <v>57.048187594085327</v>
      </c>
      <c r="F6" s="2">
        <v>0</v>
      </c>
      <c r="G6" s="4">
        <f t="shared" si="0"/>
        <v>0</v>
      </c>
      <c r="H6" s="2" t="s">
        <v>12</v>
      </c>
      <c r="I6" s="2">
        <v>4</v>
      </c>
      <c r="J6" s="2" t="s">
        <v>12</v>
      </c>
      <c r="K6" s="2" t="s">
        <v>13</v>
      </c>
    </row>
    <row r="7" spans="1:11" x14ac:dyDescent="0.25">
      <c r="A7" s="3">
        <v>40548</v>
      </c>
      <c r="B7" s="2" t="s">
        <v>18</v>
      </c>
      <c r="C7" s="4">
        <v>8.0893482469051907</v>
      </c>
      <c r="D7" s="4">
        <v>6.7569341623263339</v>
      </c>
      <c r="E7" s="4">
        <v>41.564990827328636</v>
      </c>
      <c r="F7" s="2">
        <v>0</v>
      </c>
      <c r="G7" s="4">
        <f t="shared" si="0"/>
        <v>0</v>
      </c>
      <c r="H7" s="2" t="s">
        <v>12</v>
      </c>
      <c r="I7" s="2">
        <v>4</v>
      </c>
      <c r="J7" s="2" t="s">
        <v>12</v>
      </c>
      <c r="K7" s="2" t="s">
        <v>13</v>
      </c>
    </row>
    <row r="8" spans="1:11" x14ac:dyDescent="0.25">
      <c r="A8" s="3">
        <v>40548</v>
      </c>
      <c r="B8" s="2" t="s">
        <v>19</v>
      </c>
      <c r="C8" s="4">
        <v>6.2066186265062706</v>
      </c>
      <c r="D8" s="4">
        <v>5.7233512623266218</v>
      </c>
      <c r="E8" s="4">
        <v>28.910273506495376</v>
      </c>
      <c r="F8" s="2">
        <v>0</v>
      </c>
      <c r="G8" s="4">
        <f t="shared" si="0"/>
        <v>0</v>
      </c>
      <c r="H8" s="2" t="s">
        <v>12</v>
      </c>
      <c r="I8" s="2">
        <v>4</v>
      </c>
      <c r="J8" s="2" t="s">
        <v>12</v>
      </c>
      <c r="K8" s="2" t="s">
        <v>13</v>
      </c>
    </row>
    <row r="9" spans="1:11" x14ac:dyDescent="0.25">
      <c r="A9" s="3">
        <v>40576</v>
      </c>
      <c r="B9" s="2" t="s">
        <v>20</v>
      </c>
      <c r="C9" s="4">
        <v>7.6259537576035523</v>
      </c>
      <c r="D9" s="4">
        <v>6.8627770063720845</v>
      </c>
      <c r="E9" s="4">
        <v>45.977621374272843</v>
      </c>
      <c r="F9" s="2">
        <v>0</v>
      </c>
      <c r="G9" s="4">
        <f t="shared" si="0"/>
        <v>0</v>
      </c>
      <c r="H9" s="2" t="s">
        <v>12</v>
      </c>
      <c r="I9" s="2">
        <v>4</v>
      </c>
      <c r="J9" s="2" t="s">
        <v>12</v>
      </c>
      <c r="K9" s="2" t="s">
        <v>13</v>
      </c>
    </row>
    <row r="10" spans="1:11" x14ac:dyDescent="0.25">
      <c r="A10" s="3">
        <v>40576</v>
      </c>
      <c r="B10" s="2" t="s">
        <v>21</v>
      </c>
      <c r="C10" s="4">
        <v>10.468317825336978</v>
      </c>
      <c r="D10" s="4">
        <v>11.568283566718074</v>
      </c>
      <c r="E10" s="4">
        <v>90.873093211062852</v>
      </c>
      <c r="F10" s="4">
        <v>0.47175092649331901</v>
      </c>
      <c r="G10" s="4">
        <f t="shared" si="0"/>
        <v>0.51913158210387433</v>
      </c>
      <c r="H10" s="2" t="s">
        <v>22</v>
      </c>
      <c r="I10" s="2">
        <v>1</v>
      </c>
      <c r="J10" s="4">
        <v>18.191942960148243</v>
      </c>
      <c r="K10" s="2" t="s">
        <v>13</v>
      </c>
    </row>
    <row r="11" spans="1:11" x14ac:dyDescent="0.25">
      <c r="A11" s="3">
        <v>40576</v>
      </c>
      <c r="B11" s="2" t="s">
        <v>23</v>
      </c>
      <c r="C11" s="4">
        <v>10.408462724392511</v>
      </c>
      <c r="D11" s="4">
        <v>10.680020726417807</v>
      </c>
      <c r="E11" s="4">
        <v>86.771496662218453</v>
      </c>
      <c r="F11" s="4">
        <v>0.75907427266623684</v>
      </c>
      <c r="G11" s="4">
        <f t="shared" si="0"/>
        <v>0.8747967960275469</v>
      </c>
      <c r="H11" s="2" t="s">
        <v>22</v>
      </c>
      <c r="I11" s="2">
        <v>1</v>
      </c>
      <c r="J11" s="4">
        <v>23.858616252047661</v>
      </c>
      <c r="K11" s="2" t="s">
        <v>13</v>
      </c>
    </row>
    <row r="12" spans="1:11" x14ac:dyDescent="0.25">
      <c r="A12" s="3">
        <v>40576</v>
      </c>
      <c r="B12" s="2" t="s">
        <v>24</v>
      </c>
      <c r="C12" s="4">
        <v>11.699341628622264</v>
      </c>
      <c r="D12" s="4">
        <v>10.151466910927871</v>
      </c>
      <c r="E12" s="4">
        <v>96.340841357003214</v>
      </c>
      <c r="F12" s="2">
        <v>0</v>
      </c>
      <c r="G12" s="4">
        <f t="shared" si="0"/>
        <v>0</v>
      </c>
      <c r="H12" s="2" t="s">
        <v>12</v>
      </c>
      <c r="I12" s="2">
        <v>4</v>
      </c>
      <c r="J12" s="2" t="s">
        <v>12</v>
      </c>
      <c r="K12" s="2" t="s">
        <v>13</v>
      </c>
    </row>
    <row r="13" spans="1:11" x14ac:dyDescent="0.25">
      <c r="A13" s="3">
        <v>40576</v>
      </c>
      <c r="B13" s="2" t="s">
        <v>25</v>
      </c>
      <c r="C13" s="4">
        <v>6.8801461570441536</v>
      </c>
      <c r="D13" s="4">
        <v>5.9968890577807432</v>
      </c>
      <c r="E13" s="4">
        <v>34.258981099792543</v>
      </c>
      <c r="F13" s="2">
        <v>0</v>
      </c>
      <c r="G13" s="4">
        <f t="shared" si="0"/>
        <v>0</v>
      </c>
      <c r="H13" s="2" t="s">
        <v>12</v>
      </c>
      <c r="I13" s="2">
        <v>4</v>
      </c>
      <c r="J13" s="2" t="s">
        <v>12</v>
      </c>
      <c r="K13" s="2" t="s">
        <v>13</v>
      </c>
    </row>
    <row r="14" spans="1:11" x14ac:dyDescent="0.25">
      <c r="A14" s="3">
        <v>40576</v>
      </c>
      <c r="B14" s="2" t="s">
        <v>26</v>
      </c>
      <c r="C14" s="4">
        <v>9.8662613781015747</v>
      </c>
      <c r="D14" s="4">
        <v>8.6969625144288205</v>
      </c>
      <c r="E14" s="4">
        <v>75.674103679922979</v>
      </c>
      <c r="F14" s="2">
        <v>0</v>
      </c>
      <c r="G14" s="4">
        <f t="shared" si="0"/>
        <v>0</v>
      </c>
      <c r="H14" s="2" t="s">
        <v>12</v>
      </c>
      <c r="I14" s="2">
        <v>4</v>
      </c>
      <c r="J14" s="2" t="s">
        <v>12</v>
      </c>
      <c r="K14" s="2" t="s">
        <v>13</v>
      </c>
    </row>
    <row r="15" spans="1:11" x14ac:dyDescent="0.25">
      <c r="A15" s="3">
        <v>40576</v>
      </c>
      <c r="B15" s="2" t="s">
        <v>27</v>
      </c>
      <c r="C15" s="4">
        <v>6.93080020191538</v>
      </c>
      <c r="D15" s="4">
        <v>7.6853988194843188</v>
      </c>
      <c r="E15" s="4">
        <v>47.611040363180621</v>
      </c>
      <c r="F15" s="2">
        <v>0</v>
      </c>
      <c r="G15" s="4">
        <f t="shared" si="0"/>
        <v>0</v>
      </c>
      <c r="H15" s="2" t="s">
        <v>12</v>
      </c>
      <c r="I15" s="2">
        <v>4</v>
      </c>
      <c r="J15" s="2" t="s">
        <v>12</v>
      </c>
      <c r="K15" s="2" t="s">
        <v>13</v>
      </c>
    </row>
    <row r="16" spans="1:11" x14ac:dyDescent="0.25">
      <c r="A16" s="3">
        <v>40604</v>
      </c>
      <c r="B16" s="2" t="s">
        <v>28</v>
      </c>
      <c r="C16" s="4">
        <v>10.687312599923159</v>
      </c>
      <c r="D16" s="4">
        <v>12.699472520138114</v>
      </c>
      <c r="E16" s="4">
        <v>81.074554096651724</v>
      </c>
      <c r="F16" s="4">
        <v>2.7450882239220755</v>
      </c>
      <c r="G16" s="4">
        <f t="shared" si="0"/>
        <v>3.3858813711754281</v>
      </c>
      <c r="H16" s="2" t="s">
        <v>22</v>
      </c>
      <c r="I16" s="2">
        <v>1</v>
      </c>
      <c r="J16" s="2">
        <v>23.97</v>
      </c>
      <c r="K16" s="2" t="s">
        <v>13</v>
      </c>
    </row>
    <row r="17" spans="1:11" x14ac:dyDescent="0.25">
      <c r="A17" s="3">
        <v>40604</v>
      </c>
      <c r="B17" s="2" t="s">
        <v>29</v>
      </c>
      <c r="C17" s="4">
        <v>8.4880888689878304</v>
      </c>
      <c r="D17" s="4">
        <v>6.8589752106185058</v>
      </c>
      <c r="E17" s="4">
        <v>47.773924463113161</v>
      </c>
      <c r="F17" s="4">
        <v>7.0094534611969426</v>
      </c>
      <c r="G17" s="4">
        <f t="shared" si="0"/>
        <v>14.672132423638399</v>
      </c>
      <c r="H17" s="2" t="s">
        <v>30</v>
      </c>
      <c r="I17" s="2">
        <v>2</v>
      </c>
      <c r="J17" s="2" t="s">
        <v>12</v>
      </c>
      <c r="K17" s="2" t="s">
        <v>13</v>
      </c>
    </row>
    <row r="18" spans="1:11" x14ac:dyDescent="0.25">
      <c r="A18" s="3">
        <v>40604</v>
      </c>
      <c r="B18" s="2" t="s">
        <v>31</v>
      </c>
      <c r="C18" s="4">
        <v>9.709089800212432</v>
      </c>
      <c r="D18" s="4">
        <v>7.2517184069328291</v>
      </c>
      <c r="E18" s="4">
        <v>59.810933777825312</v>
      </c>
      <c r="F18" s="4">
        <v>0.2450314424115021</v>
      </c>
      <c r="G18" s="4">
        <f t="shared" si="0"/>
        <v>0.40967667102757499</v>
      </c>
      <c r="H18" s="2" t="s">
        <v>30</v>
      </c>
      <c r="I18" s="2">
        <v>1</v>
      </c>
      <c r="J18" s="2" t="s">
        <v>12</v>
      </c>
      <c r="K18" s="2" t="s">
        <v>13</v>
      </c>
    </row>
    <row r="19" spans="1:11" x14ac:dyDescent="0.25">
      <c r="A19" s="3">
        <v>40604</v>
      </c>
      <c r="B19" s="2" t="s">
        <v>32</v>
      </c>
      <c r="C19" s="4">
        <v>12.374047978716609</v>
      </c>
      <c r="D19" s="4">
        <v>9.2664394616538885</v>
      </c>
      <c r="E19" s="4">
        <v>91.95644815756738</v>
      </c>
      <c r="F19" s="4">
        <v>18.095638704290632</v>
      </c>
      <c r="G19" s="4">
        <f t="shared" si="0"/>
        <v>19.678488096108012</v>
      </c>
      <c r="H19" s="2" t="s">
        <v>22</v>
      </c>
      <c r="I19" s="2">
        <v>2</v>
      </c>
      <c r="J19" s="2">
        <v>30.22</v>
      </c>
      <c r="K19" s="2" t="s">
        <v>13</v>
      </c>
    </row>
    <row r="20" spans="1:11" x14ac:dyDescent="0.25">
      <c r="A20" s="3">
        <v>40604</v>
      </c>
      <c r="B20" s="2" t="s">
        <v>33</v>
      </c>
      <c r="C20" s="4">
        <v>7.6993562482771312</v>
      </c>
      <c r="D20" s="4">
        <v>7.5521917979803046</v>
      </c>
      <c r="E20" s="4">
        <v>49.087640767765073</v>
      </c>
      <c r="F20" s="4">
        <v>12.859252149515667</v>
      </c>
      <c r="G20" s="4">
        <f t="shared" si="0"/>
        <v>26.196516981439643</v>
      </c>
      <c r="H20" s="2" t="s">
        <v>30</v>
      </c>
      <c r="I20" s="2">
        <v>2</v>
      </c>
      <c r="J20" s="2" t="s">
        <v>12</v>
      </c>
      <c r="K20" s="2" t="s">
        <v>34</v>
      </c>
    </row>
    <row r="21" spans="1:11" x14ac:dyDescent="0.25">
      <c r="A21" s="3">
        <v>40604</v>
      </c>
      <c r="B21" s="2" t="s">
        <v>35</v>
      </c>
      <c r="C21" s="4">
        <v>13.024509596700891</v>
      </c>
      <c r="D21" s="4">
        <v>9.602691551670496</v>
      </c>
      <c r="E21" s="4">
        <v>108.77481494486224</v>
      </c>
      <c r="F21" s="4">
        <v>16.255620303163269</v>
      </c>
      <c r="G21" s="4">
        <f t="shared" si="0"/>
        <v>14.944286792308692</v>
      </c>
      <c r="H21" s="2" t="s">
        <v>30</v>
      </c>
      <c r="I21" s="2">
        <v>2</v>
      </c>
      <c r="J21" s="2" t="s">
        <v>12</v>
      </c>
      <c r="K21" s="2" t="s">
        <v>13</v>
      </c>
    </row>
    <row r="22" spans="1:11" x14ac:dyDescent="0.25">
      <c r="A22" s="3">
        <v>40604</v>
      </c>
      <c r="B22" s="2" t="s">
        <v>36</v>
      </c>
      <c r="C22" s="4">
        <v>8.9322941472875019</v>
      </c>
      <c r="D22" s="4">
        <v>6.2972283482316112</v>
      </c>
      <c r="E22" s="4">
        <v>48.774029246118864</v>
      </c>
      <c r="F22" s="4">
        <v>0</v>
      </c>
      <c r="G22" s="4">
        <f t="shared" si="0"/>
        <v>0</v>
      </c>
      <c r="H22" s="2" t="s">
        <v>12</v>
      </c>
      <c r="I22" s="2" t="s">
        <v>12</v>
      </c>
      <c r="J22" s="2" t="s">
        <v>12</v>
      </c>
      <c r="K22" s="2" t="s">
        <v>37</v>
      </c>
    </row>
    <row r="23" spans="1:11" x14ac:dyDescent="0.25">
      <c r="A23" s="3">
        <v>40639</v>
      </c>
      <c r="B23" s="2" t="s">
        <v>38</v>
      </c>
      <c r="C23" s="4">
        <v>8.4543279414457917</v>
      </c>
      <c r="D23" s="4">
        <v>8.2357807649056785</v>
      </c>
      <c r="E23" s="4">
        <v>56.332969692208671</v>
      </c>
      <c r="F23" s="4">
        <v>4.5534069324787207</v>
      </c>
      <c r="G23" s="4">
        <f t="shared" si="0"/>
        <v>8.083023063327861</v>
      </c>
      <c r="H23" s="2" t="s">
        <v>30</v>
      </c>
      <c r="I23" s="2">
        <v>2</v>
      </c>
      <c r="J23" s="2" t="s">
        <v>12</v>
      </c>
      <c r="K23" s="2" t="s">
        <v>13</v>
      </c>
    </row>
    <row r="24" spans="1:11" x14ac:dyDescent="0.25">
      <c r="A24" s="3">
        <v>40639</v>
      </c>
      <c r="B24" s="2" t="s">
        <v>39</v>
      </c>
      <c r="C24" s="4">
        <v>10.854512322329336</v>
      </c>
      <c r="D24" s="4">
        <v>10.240468351213302</v>
      </c>
      <c r="E24" s="4">
        <v>90.045374741660765</v>
      </c>
      <c r="F24" s="4">
        <v>15.776380452535122</v>
      </c>
      <c r="G24" s="4">
        <f t="shared" si="0"/>
        <v>17.520478423014389</v>
      </c>
      <c r="H24" s="2" t="s">
        <v>22</v>
      </c>
      <c r="I24" s="2">
        <v>2</v>
      </c>
      <c r="J24" s="2">
        <v>27.28</v>
      </c>
      <c r="K24" s="2" t="s">
        <v>13</v>
      </c>
    </row>
    <row r="25" spans="1:11" x14ac:dyDescent="0.25">
      <c r="A25" s="3">
        <v>40639</v>
      </c>
      <c r="B25" s="2" t="s">
        <v>40</v>
      </c>
      <c r="C25" s="4">
        <v>5.4210021304943297</v>
      </c>
      <c r="D25" s="4">
        <v>5.3758767544275035</v>
      </c>
      <c r="E25" s="4">
        <v>23.753738887658052</v>
      </c>
      <c r="F25" s="4">
        <v>2.9243222866489735</v>
      </c>
      <c r="G25" s="4">
        <f t="shared" si="0"/>
        <v>12.310997862186616</v>
      </c>
      <c r="H25" s="2" t="s">
        <v>30</v>
      </c>
      <c r="I25" s="2">
        <v>2</v>
      </c>
      <c r="J25" s="2" t="s">
        <v>12</v>
      </c>
      <c r="K25" s="2" t="s">
        <v>13</v>
      </c>
    </row>
    <row r="26" spans="1:11" x14ac:dyDescent="0.25">
      <c r="A26" s="3">
        <v>40639</v>
      </c>
      <c r="B26" s="2" t="s">
        <v>41</v>
      </c>
      <c r="C26" s="4">
        <v>7.6122400758582431</v>
      </c>
      <c r="D26" s="4">
        <v>5.4713910411245594</v>
      </c>
      <c r="E26" s="4">
        <v>32.48649125088096</v>
      </c>
      <c r="F26" s="4">
        <v>0</v>
      </c>
      <c r="G26" s="4">
        <f t="shared" si="0"/>
        <v>0</v>
      </c>
      <c r="H26" s="2" t="s">
        <v>12</v>
      </c>
      <c r="I26" s="2">
        <v>4</v>
      </c>
      <c r="J26" s="2" t="s">
        <v>12</v>
      </c>
      <c r="K26" s="2" t="s">
        <v>13</v>
      </c>
    </row>
    <row r="27" spans="1:11" x14ac:dyDescent="0.25">
      <c r="A27" s="3">
        <v>40639</v>
      </c>
      <c r="B27" s="2" t="s">
        <v>42</v>
      </c>
      <c r="C27" s="4">
        <v>8.2606687280080084</v>
      </c>
      <c r="D27" s="4">
        <v>7.5757146704862981</v>
      </c>
      <c r="E27" s="4">
        <v>52.041534045946435</v>
      </c>
      <c r="F27" s="4">
        <v>8.4770774156197799</v>
      </c>
      <c r="G27" s="4">
        <f t="shared" si="0"/>
        <v>16.289061364208703</v>
      </c>
      <c r="H27" s="2" t="s">
        <v>30</v>
      </c>
      <c r="I27" s="2">
        <v>2</v>
      </c>
      <c r="J27" s="2" t="s">
        <v>12</v>
      </c>
      <c r="K27" s="2" t="s">
        <v>13</v>
      </c>
    </row>
    <row r="28" spans="1:11" x14ac:dyDescent="0.25">
      <c r="A28" s="3">
        <v>40639</v>
      </c>
      <c r="B28" s="2" t="s">
        <v>43</v>
      </c>
      <c r="C28" s="4">
        <v>7.7711307815113253</v>
      </c>
      <c r="D28" s="4">
        <v>9.05167211738868</v>
      </c>
      <c r="E28" s="4">
        <v>58.913840172174204</v>
      </c>
      <c r="F28" s="4">
        <v>20.915000641549916</v>
      </c>
      <c r="G28" s="4">
        <f t="shared" si="0"/>
        <v>35.500997016026041</v>
      </c>
      <c r="H28" s="2" t="s">
        <v>30</v>
      </c>
      <c r="I28" s="2">
        <v>2</v>
      </c>
      <c r="J28" s="2" t="s">
        <v>12</v>
      </c>
      <c r="K28" s="2" t="s">
        <v>13</v>
      </c>
    </row>
    <row r="29" spans="1:11" x14ac:dyDescent="0.25">
      <c r="A29" s="3">
        <v>40639</v>
      </c>
      <c r="B29" s="2" t="s">
        <v>44</v>
      </c>
      <c r="C29" s="4">
        <v>10.128957900965341</v>
      </c>
      <c r="D29" s="4">
        <v>7.0861138619727759</v>
      </c>
      <c r="E29" s="4">
        <v>59.115656418807667</v>
      </c>
      <c r="F29" s="4">
        <v>15.148952233239017</v>
      </c>
      <c r="G29" s="4">
        <f t="shared" si="0"/>
        <v>25.625956220320973</v>
      </c>
      <c r="H29" s="2" t="s">
        <v>22</v>
      </c>
      <c r="I29" s="2">
        <v>2</v>
      </c>
      <c r="J29" s="4">
        <v>29.722136987872766</v>
      </c>
      <c r="K29" s="2" t="s">
        <v>13</v>
      </c>
    </row>
    <row r="30" spans="1:11" x14ac:dyDescent="0.25">
      <c r="A30" s="3">
        <v>40667</v>
      </c>
      <c r="B30" s="2" t="s">
        <v>45</v>
      </c>
      <c r="C30" s="4">
        <v>9.4490032705426277</v>
      </c>
      <c r="D30" s="4">
        <v>12.645400736973041</v>
      </c>
      <c r="E30" s="4">
        <v>94.545589795181826</v>
      </c>
      <c r="F30" s="4">
        <v>8.2838272671405395</v>
      </c>
      <c r="G30" s="4">
        <f t="shared" si="0"/>
        <v>8.76172784482719</v>
      </c>
      <c r="H30" s="2" t="s">
        <v>22</v>
      </c>
      <c r="I30" s="2">
        <v>2</v>
      </c>
      <c r="J30" s="4">
        <v>29.436966609318521</v>
      </c>
      <c r="K30" s="2" t="s">
        <v>13</v>
      </c>
    </row>
    <row r="31" spans="1:11" x14ac:dyDescent="0.25">
      <c r="A31" s="3">
        <v>40667</v>
      </c>
      <c r="B31" s="2" t="s">
        <v>46</v>
      </c>
      <c r="C31" s="4">
        <v>9.6338957211369198</v>
      </c>
      <c r="D31" s="4">
        <v>9.9330966490134003</v>
      </c>
      <c r="E31" s="4">
        <v>83.070596025088093</v>
      </c>
      <c r="F31" s="4">
        <v>0</v>
      </c>
      <c r="G31" s="4">
        <f t="shared" si="0"/>
        <v>0</v>
      </c>
      <c r="H31" s="2" t="s">
        <v>12</v>
      </c>
      <c r="I31" s="2">
        <v>4</v>
      </c>
      <c r="J31" s="2" t="s">
        <v>12</v>
      </c>
      <c r="K31" s="2" t="s">
        <v>34</v>
      </c>
    </row>
    <row r="32" spans="1:11" x14ac:dyDescent="0.25">
      <c r="A32" s="3">
        <v>40667</v>
      </c>
      <c r="B32" s="2" t="s">
        <v>47</v>
      </c>
      <c r="C32" s="4">
        <v>8.3147257940684245</v>
      </c>
      <c r="D32" s="4">
        <v>8.4833664627626355</v>
      </c>
      <c r="E32" s="4">
        <v>55.143410516792066</v>
      </c>
      <c r="F32" s="4">
        <v>3.6120978980315623</v>
      </c>
      <c r="G32" s="4">
        <f t="shared" si="0"/>
        <v>6.5503708678512362</v>
      </c>
      <c r="H32" s="2" t="s">
        <v>22</v>
      </c>
      <c r="I32" s="2">
        <v>2</v>
      </c>
      <c r="J32" s="4">
        <v>23.115254161443069</v>
      </c>
      <c r="K32" s="2" t="s">
        <v>13</v>
      </c>
    </row>
    <row r="33" spans="1:11" x14ac:dyDescent="0.25">
      <c r="A33" s="3">
        <v>40667</v>
      </c>
      <c r="B33" s="2" t="s">
        <v>48</v>
      </c>
      <c r="C33" s="4">
        <v>7.6240918704734506</v>
      </c>
      <c r="D33" s="4">
        <v>7.8584892678321188</v>
      </c>
      <c r="E33" s="4">
        <v>45.812621396802214</v>
      </c>
      <c r="F33" s="4">
        <v>2.8719511117060925</v>
      </c>
      <c r="G33" s="4">
        <f t="shared" si="0"/>
        <v>6.2689080522830745</v>
      </c>
      <c r="H33" s="2" t="s">
        <v>22</v>
      </c>
      <c r="I33" s="2">
        <v>2</v>
      </c>
      <c r="J33" s="4">
        <v>23.983034927508857</v>
      </c>
      <c r="K33" s="2" t="s">
        <v>13</v>
      </c>
    </row>
    <row r="34" spans="1:11" x14ac:dyDescent="0.25">
      <c r="A34" s="3">
        <v>40667</v>
      </c>
      <c r="B34" s="2" t="s">
        <v>49</v>
      </c>
      <c r="C34" s="4">
        <v>7.6157134067205758</v>
      </c>
      <c r="D34" s="4">
        <v>8.7083141240285897</v>
      </c>
      <c r="E34" s="4">
        <v>55.502853228263405</v>
      </c>
      <c r="F34" s="4">
        <v>3.117790434632139</v>
      </c>
      <c r="G34" s="4">
        <f t="shared" si="0"/>
        <v>5.6173516374190369</v>
      </c>
      <c r="H34" s="2" t="s">
        <v>22</v>
      </c>
      <c r="I34" s="2">
        <v>2</v>
      </c>
      <c r="J34" s="4">
        <v>24.604746951207435</v>
      </c>
      <c r="K34" s="2" t="s">
        <v>13</v>
      </c>
    </row>
    <row r="35" spans="1:11" x14ac:dyDescent="0.25">
      <c r="A35" s="3">
        <v>40667</v>
      </c>
      <c r="B35" s="2" t="s">
        <v>50</v>
      </c>
      <c r="C35" s="4">
        <v>6.900860108899086</v>
      </c>
      <c r="D35" s="4">
        <v>7.3620412687921197</v>
      </c>
      <c r="E35" s="4">
        <v>37.810744429237857</v>
      </c>
      <c r="F35" s="4">
        <v>1.0646967536686092</v>
      </c>
      <c r="G35" s="4">
        <f t="shared" si="0"/>
        <v>2.8158576873861088</v>
      </c>
      <c r="H35" s="2" t="s">
        <v>22</v>
      </c>
      <c r="I35" s="2">
        <v>2</v>
      </c>
      <c r="J35" s="4">
        <v>25.443011133353991</v>
      </c>
      <c r="K35" s="2" t="s">
        <v>13</v>
      </c>
    </row>
    <row r="36" spans="1:11" x14ac:dyDescent="0.25">
      <c r="A36" s="3">
        <v>40667</v>
      </c>
      <c r="B36" s="2" t="s">
        <v>51</v>
      </c>
      <c r="C36" s="4">
        <v>5.3992280186735426</v>
      </c>
      <c r="D36" s="4">
        <v>8.5069159800735683</v>
      </c>
      <c r="E36" s="4">
        <v>37.006044142750177</v>
      </c>
      <c r="F36" s="4">
        <v>5.3602872140056492</v>
      </c>
      <c r="G36" s="4">
        <f t="shared" si="0"/>
        <v>14.484896557244632</v>
      </c>
      <c r="H36" s="2" t="s">
        <v>30</v>
      </c>
      <c r="I36" s="2">
        <v>2</v>
      </c>
      <c r="J36" s="2" t="s">
        <v>12</v>
      </c>
      <c r="K36" s="2" t="s">
        <v>34</v>
      </c>
    </row>
    <row r="37" spans="1:11" x14ac:dyDescent="0.25">
      <c r="A37" s="3">
        <v>40695</v>
      </c>
      <c r="B37" s="2" t="s">
        <v>52</v>
      </c>
      <c r="C37" s="4">
        <v>12.896412169301012</v>
      </c>
      <c r="D37" s="4">
        <v>12.007904231154074</v>
      </c>
      <c r="E37" s="4">
        <v>109.02452696485801</v>
      </c>
      <c r="F37" s="4">
        <v>0.31439375516028889</v>
      </c>
      <c r="G37" s="4">
        <f t="shared" si="0"/>
        <v>0.28836974936990806</v>
      </c>
      <c r="H37" s="2" t="s">
        <v>22</v>
      </c>
      <c r="I37" s="2">
        <v>3</v>
      </c>
      <c r="J37" s="2">
        <v>35.04</v>
      </c>
      <c r="K37" s="2" t="s">
        <v>13</v>
      </c>
    </row>
    <row r="38" spans="1:11" x14ac:dyDescent="0.25">
      <c r="A38" s="3">
        <v>40695</v>
      </c>
      <c r="B38" s="2" t="s">
        <v>53</v>
      </c>
      <c r="C38" s="4">
        <v>6.2939539254592036</v>
      </c>
      <c r="D38" s="4">
        <v>6.042620123424765</v>
      </c>
      <c r="E38" s="4">
        <v>31.299009482501749</v>
      </c>
      <c r="F38" s="4">
        <v>6.2558035291283636</v>
      </c>
      <c r="G38" s="4">
        <f t="shared" si="0"/>
        <v>19.987225259079775</v>
      </c>
      <c r="H38" s="2" t="s">
        <v>30</v>
      </c>
      <c r="I38" s="2">
        <v>2</v>
      </c>
      <c r="J38" s="2" t="s">
        <v>12</v>
      </c>
      <c r="K38" s="2" t="s">
        <v>13</v>
      </c>
    </row>
    <row r="39" spans="1:11" x14ac:dyDescent="0.25">
      <c r="A39" s="3">
        <v>40695</v>
      </c>
      <c r="B39" s="2" t="s">
        <v>54</v>
      </c>
      <c r="C39" s="4">
        <v>9.1972153869974811</v>
      </c>
      <c r="D39" s="4">
        <v>7.5880152833894883</v>
      </c>
      <c r="E39" s="4">
        <v>52.334935731228789</v>
      </c>
      <c r="F39" s="4">
        <v>4.4426888314853734</v>
      </c>
      <c r="G39" s="4">
        <f t="shared" si="0"/>
        <v>8.4889544038063569</v>
      </c>
      <c r="H39" s="2" t="s">
        <v>22</v>
      </c>
      <c r="I39" s="2">
        <v>2</v>
      </c>
      <c r="J39" s="2">
        <v>32.869999999999997</v>
      </c>
      <c r="K39" s="2" t="s">
        <v>13</v>
      </c>
    </row>
    <row r="40" spans="1:11" x14ac:dyDescent="0.25">
      <c r="A40" s="3">
        <v>40695</v>
      </c>
      <c r="B40" s="2" t="s">
        <v>55</v>
      </c>
      <c r="C40" s="4">
        <v>11.346375128713689</v>
      </c>
      <c r="D40" s="4">
        <v>9.5338524296870357</v>
      </c>
      <c r="E40" s="4">
        <v>90.132651484232071</v>
      </c>
      <c r="F40" s="4">
        <v>10.482518969725389</v>
      </c>
      <c r="G40" s="4">
        <f>(F40/E40)*100</f>
        <v>11.630101630327845</v>
      </c>
      <c r="H40" s="2" t="s">
        <v>30</v>
      </c>
      <c r="I40" s="2">
        <v>2</v>
      </c>
      <c r="J40" s="2" t="s">
        <v>12</v>
      </c>
      <c r="K40" s="2" t="s">
        <v>13</v>
      </c>
    </row>
    <row r="41" spans="1:11" x14ac:dyDescent="0.25">
      <c r="A41" s="3">
        <v>40695</v>
      </c>
      <c r="B41" s="2" t="s">
        <v>56</v>
      </c>
      <c r="C41" s="4">
        <v>8.3206969222617193</v>
      </c>
      <c r="D41" s="4">
        <v>8.3868079304455936</v>
      </c>
      <c r="E41" s="4">
        <v>65.912291070173055</v>
      </c>
      <c r="F41" s="4">
        <v>22.955552939287656</v>
      </c>
      <c r="G41" s="4">
        <f t="shared" ref="G41:G85" si="1">(F41/E41)*100</f>
        <v>34.827423787845859</v>
      </c>
      <c r="H41" s="2" t="s">
        <v>22</v>
      </c>
      <c r="I41" s="2">
        <v>2</v>
      </c>
      <c r="J41" s="2">
        <v>32.950000000000003</v>
      </c>
      <c r="K41" s="2" t="s">
        <v>13</v>
      </c>
    </row>
    <row r="42" spans="1:11" x14ac:dyDescent="0.25">
      <c r="A42" s="3">
        <v>40695</v>
      </c>
      <c r="B42" s="2" t="s">
        <v>57</v>
      </c>
      <c r="C42" s="4">
        <v>7.2521765854427107</v>
      </c>
      <c r="D42" s="4">
        <v>6.4408872331410292</v>
      </c>
      <c r="E42" s="4">
        <v>36.651038362358719</v>
      </c>
      <c r="F42" s="4">
        <v>4.8611709380196491</v>
      </c>
      <c r="G42" s="4">
        <f t="shared" si="1"/>
        <v>13.263392130827484</v>
      </c>
      <c r="H42" s="2" t="s">
        <v>30</v>
      </c>
      <c r="I42" s="2">
        <v>2</v>
      </c>
      <c r="J42" s="2" t="s">
        <v>12</v>
      </c>
      <c r="K42" s="2" t="s">
        <v>13</v>
      </c>
    </row>
    <row r="43" spans="1:11" x14ac:dyDescent="0.25">
      <c r="A43" s="3">
        <v>40695</v>
      </c>
      <c r="B43" s="2" t="s">
        <v>58</v>
      </c>
      <c r="C43" s="4">
        <v>10.764330599176649</v>
      </c>
      <c r="D43" s="4">
        <v>9.9356441352057754</v>
      </c>
      <c r="E43" s="4">
        <v>86.452678799478505</v>
      </c>
      <c r="F43" s="4">
        <v>22.115831673669465</v>
      </c>
      <c r="G43" s="4">
        <f t="shared" si="1"/>
        <v>25.581430189069941</v>
      </c>
      <c r="H43" s="2" t="s">
        <v>30</v>
      </c>
      <c r="I43" s="2">
        <v>2</v>
      </c>
      <c r="J43" s="2" t="s">
        <v>12</v>
      </c>
      <c r="K43" s="2" t="s">
        <v>13</v>
      </c>
    </row>
    <row r="44" spans="1:11" x14ac:dyDescent="0.25">
      <c r="A44" s="3">
        <v>40730</v>
      </c>
      <c r="B44" s="2" t="s">
        <v>59</v>
      </c>
      <c r="C44" s="4">
        <v>10.430119801249832</v>
      </c>
      <c r="D44" s="4">
        <v>9.4772271408352005</v>
      </c>
      <c r="E44" s="4">
        <v>83.080700943270031</v>
      </c>
      <c r="F44" s="4">
        <v>20.029140422101047</v>
      </c>
      <c r="G44" s="4">
        <f t="shared" si="1"/>
        <v>24.108054210781802</v>
      </c>
      <c r="H44" s="2" t="s">
        <v>30</v>
      </c>
      <c r="I44" s="2">
        <v>2</v>
      </c>
      <c r="J44" s="2" t="s">
        <v>12</v>
      </c>
      <c r="K44" s="2" t="s">
        <v>13</v>
      </c>
    </row>
    <row r="45" spans="1:11" x14ac:dyDescent="0.25">
      <c r="A45" s="3">
        <v>40730</v>
      </c>
      <c r="B45" s="2" t="s">
        <v>60</v>
      </c>
      <c r="C45" s="4">
        <v>8.2958788690313447</v>
      </c>
      <c r="D45" s="4">
        <v>9.1569852930657927</v>
      </c>
      <c r="E45" s="4">
        <v>63.452871960894115</v>
      </c>
      <c r="F45" s="4">
        <v>9.888970438039248</v>
      </c>
      <c r="G45" s="4">
        <f t="shared" si="1"/>
        <v>15.584748384807234</v>
      </c>
      <c r="H45" s="2" t="s">
        <v>30</v>
      </c>
      <c r="I45" s="2">
        <v>2</v>
      </c>
      <c r="J45" s="2" t="s">
        <v>12</v>
      </c>
      <c r="K45" s="2" t="s">
        <v>34</v>
      </c>
    </row>
    <row r="46" spans="1:11" x14ac:dyDescent="0.25">
      <c r="A46" s="3">
        <v>40730</v>
      </c>
      <c r="B46" s="2" t="s">
        <v>61</v>
      </c>
      <c r="C46" s="4">
        <v>7.5239274327388337</v>
      </c>
      <c r="D46" s="4">
        <v>7.8688067682691365</v>
      </c>
      <c r="E46" s="4">
        <v>52.461170267501494</v>
      </c>
      <c r="F46" s="4">
        <v>15.760299783245609</v>
      </c>
      <c r="G46" s="4">
        <f t="shared" si="1"/>
        <v>30.041837997290649</v>
      </c>
      <c r="H46" s="2" t="s">
        <v>30</v>
      </c>
      <c r="I46" s="2">
        <v>2</v>
      </c>
      <c r="J46" s="2" t="s">
        <v>12</v>
      </c>
      <c r="K46" s="2" t="s">
        <v>13</v>
      </c>
    </row>
    <row r="47" spans="1:11" x14ac:dyDescent="0.25">
      <c r="A47" s="3">
        <v>40730</v>
      </c>
      <c r="B47" s="2" t="s">
        <v>62</v>
      </c>
      <c r="C47" s="4">
        <v>5.529070724273879</v>
      </c>
      <c r="D47" s="4">
        <v>8.2320364330657458</v>
      </c>
      <c r="E47" s="4">
        <v>47.722373992185055</v>
      </c>
      <c r="F47" s="4">
        <v>0.37258679920798582</v>
      </c>
      <c r="G47" s="4">
        <f t="shared" si="1"/>
        <v>0.78073819057911931</v>
      </c>
      <c r="H47" s="2" t="s">
        <v>22</v>
      </c>
      <c r="I47" s="2">
        <v>3</v>
      </c>
      <c r="J47" s="2">
        <v>33.49</v>
      </c>
      <c r="K47" s="2" t="s">
        <v>13</v>
      </c>
    </row>
    <row r="48" spans="1:11" x14ac:dyDescent="0.25">
      <c r="A48" s="3">
        <v>40730</v>
      </c>
      <c r="B48" s="2" t="s">
        <v>63</v>
      </c>
      <c r="C48" s="4">
        <v>9.1400737843517437</v>
      </c>
      <c r="D48" s="4">
        <v>8.5708156289255726</v>
      </c>
      <c r="E48" s="4">
        <v>63.032722799329825</v>
      </c>
      <c r="F48" s="4">
        <v>6.1038578748927623</v>
      </c>
      <c r="G48" s="4">
        <f t="shared" si="1"/>
        <v>9.6836335221071224</v>
      </c>
      <c r="H48" s="2" t="s">
        <v>30</v>
      </c>
      <c r="I48" s="2">
        <v>2</v>
      </c>
      <c r="J48" s="2" t="s">
        <v>12</v>
      </c>
      <c r="K48" s="2" t="s">
        <v>13</v>
      </c>
    </row>
    <row r="49" spans="1:11" x14ac:dyDescent="0.25">
      <c r="A49" s="3">
        <v>40730</v>
      </c>
      <c r="B49" s="2" t="s">
        <v>64</v>
      </c>
      <c r="C49" s="4">
        <v>9.999900365035046</v>
      </c>
      <c r="D49" s="4">
        <v>8.5258649458251323</v>
      </c>
      <c r="E49" s="4">
        <v>70.583597263774408</v>
      </c>
      <c r="F49" s="4">
        <v>3.1831133448082016</v>
      </c>
      <c r="G49" s="4">
        <f t="shared" si="1"/>
        <v>4.5097068840409893</v>
      </c>
      <c r="H49" s="2" t="s">
        <v>22</v>
      </c>
      <c r="I49" s="2">
        <v>1</v>
      </c>
      <c r="J49" s="4">
        <v>20.787151572413567</v>
      </c>
      <c r="K49" s="2" t="s">
        <v>13</v>
      </c>
    </row>
    <row r="50" spans="1:11" x14ac:dyDescent="0.25">
      <c r="A50" s="3">
        <v>40730</v>
      </c>
      <c r="B50" s="2" t="s">
        <v>65</v>
      </c>
      <c r="C50" s="4">
        <v>11.806068185567209</v>
      </c>
      <c r="D50" s="4">
        <v>11.549337005959424</v>
      </c>
      <c r="E50" s="4">
        <v>126.70855695873811</v>
      </c>
      <c r="F50" s="4">
        <v>18.403030828324866</v>
      </c>
      <c r="G50" s="4">
        <f t="shared" si="1"/>
        <v>14.523905306819731</v>
      </c>
      <c r="H50" s="2" t="s">
        <v>22</v>
      </c>
      <c r="I50" s="2">
        <v>2</v>
      </c>
      <c r="J50" s="4">
        <v>29.627206114320352</v>
      </c>
      <c r="K50" s="2" t="s">
        <v>13</v>
      </c>
    </row>
    <row r="51" spans="1:11" x14ac:dyDescent="0.25">
      <c r="A51" s="3">
        <v>40757</v>
      </c>
      <c r="B51" s="2" t="s">
        <v>66</v>
      </c>
      <c r="C51" s="4">
        <v>7.2149078331142018</v>
      </c>
      <c r="D51" s="4">
        <v>12.099327267090304</v>
      </c>
      <c r="E51" s="4">
        <v>70.335090652800346</v>
      </c>
      <c r="F51" s="4">
        <v>14.365000370124889</v>
      </c>
      <c r="G51" s="4">
        <f t="shared" si="1"/>
        <v>20.423660845246889</v>
      </c>
      <c r="H51" s="2" t="s">
        <v>22</v>
      </c>
      <c r="I51" s="2">
        <v>2</v>
      </c>
      <c r="J51" s="4">
        <v>32.031860500520899</v>
      </c>
      <c r="K51" s="2" t="s">
        <v>13</v>
      </c>
    </row>
    <row r="52" spans="1:11" x14ac:dyDescent="0.25">
      <c r="A52" s="3">
        <v>40757</v>
      </c>
      <c r="B52" s="2" t="s">
        <v>67</v>
      </c>
      <c r="C52" s="4">
        <v>9.3366179928009014</v>
      </c>
      <c r="D52" s="4">
        <v>10.238487238368867</v>
      </c>
      <c r="E52" s="4">
        <v>92.074244830688173</v>
      </c>
      <c r="F52" s="4">
        <v>22.495073869497272</v>
      </c>
      <c r="G52" s="4">
        <f t="shared" si="1"/>
        <v>24.431450848022276</v>
      </c>
      <c r="H52" s="2" t="s">
        <v>22</v>
      </c>
      <c r="I52" s="2">
        <v>2</v>
      </c>
      <c r="J52" s="4">
        <v>31.099591463063433</v>
      </c>
      <c r="K52" s="2" t="s">
        <v>13</v>
      </c>
    </row>
    <row r="53" spans="1:11" x14ac:dyDescent="0.25">
      <c r="A53" s="3">
        <v>40757</v>
      </c>
      <c r="B53" s="2" t="s">
        <v>68</v>
      </c>
      <c r="C53" s="4">
        <v>7.3570591683221886</v>
      </c>
      <c r="D53" s="4">
        <v>4.8119169555078365</v>
      </c>
      <c r="E53" s="4">
        <v>26.542798893871787</v>
      </c>
      <c r="F53" s="4">
        <v>1.5759953548739374</v>
      </c>
      <c r="G53" s="4">
        <f t="shared" si="1"/>
        <v>5.9375628063015009</v>
      </c>
      <c r="H53" s="2" t="s">
        <v>22</v>
      </c>
      <c r="I53" s="2">
        <v>2</v>
      </c>
      <c r="J53" s="4">
        <v>31.673285465858871</v>
      </c>
      <c r="K53" s="2" t="s">
        <v>13</v>
      </c>
    </row>
    <row r="54" spans="1:11" x14ac:dyDescent="0.25">
      <c r="A54" s="3">
        <v>40757</v>
      </c>
      <c r="B54" s="2" t="s">
        <v>69</v>
      </c>
      <c r="C54" s="4">
        <v>7.3823127104953432</v>
      </c>
      <c r="D54" s="4">
        <v>8.1979843602611222</v>
      </c>
      <c r="E54" s="4">
        <v>51.164586159158027</v>
      </c>
      <c r="F54" s="4">
        <v>6.3752287867784743</v>
      </c>
      <c r="G54" s="4">
        <f t="shared" si="1"/>
        <v>12.460237178401105</v>
      </c>
      <c r="H54" s="2" t="s">
        <v>22</v>
      </c>
      <c r="I54" s="2">
        <v>2</v>
      </c>
      <c r="J54" s="4">
        <v>30.587714011674951</v>
      </c>
      <c r="K54" s="2" t="s">
        <v>13</v>
      </c>
    </row>
    <row r="55" spans="1:11" x14ac:dyDescent="0.25">
      <c r="A55" s="3">
        <v>40757</v>
      </c>
      <c r="B55" s="2" t="s">
        <v>70</v>
      </c>
      <c r="C55" s="4">
        <v>8.2974660523838271</v>
      </c>
      <c r="D55" s="4">
        <v>9.8804803241719785</v>
      </c>
      <c r="E55" s="4">
        <v>66.035524907391732</v>
      </c>
      <c r="F55" s="4">
        <v>18.951427815698104</v>
      </c>
      <c r="G55" s="4">
        <f t="shared" si="1"/>
        <v>28.698837242947032</v>
      </c>
      <c r="H55" s="2" t="s">
        <v>22</v>
      </c>
      <c r="I55" s="2">
        <v>2</v>
      </c>
      <c r="J55" s="2">
        <v>29.89</v>
      </c>
      <c r="K55" s="2" t="s">
        <v>13</v>
      </c>
    </row>
    <row r="56" spans="1:11" x14ac:dyDescent="0.25">
      <c r="A56" s="3">
        <v>40757</v>
      </c>
      <c r="B56" s="2" t="s">
        <v>71</v>
      </c>
      <c r="C56" s="4">
        <v>9.7064161778641243</v>
      </c>
      <c r="D56" s="4">
        <v>9.2984717881272676</v>
      </c>
      <c r="E56" s="4">
        <v>68.604520826143471</v>
      </c>
      <c r="F56" s="4">
        <v>14.537425154229192</v>
      </c>
      <c r="G56" s="4">
        <f t="shared" si="1"/>
        <v>21.190185397649977</v>
      </c>
      <c r="H56" s="2" t="s">
        <v>22</v>
      </c>
      <c r="I56" s="2">
        <v>2</v>
      </c>
      <c r="J56" s="2">
        <v>26.35</v>
      </c>
      <c r="K56" s="2" t="s">
        <v>13</v>
      </c>
    </row>
    <row r="57" spans="1:11" x14ac:dyDescent="0.25">
      <c r="A57" s="3">
        <v>40757</v>
      </c>
      <c r="B57" s="2" t="s">
        <v>72</v>
      </c>
      <c r="C57" s="4">
        <v>8.4550134798525498</v>
      </c>
      <c r="D57" s="4">
        <v>11.459404303949469</v>
      </c>
      <c r="E57" s="4">
        <v>72.867667830896409</v>
      </c>
      <c r="F57" s="4">
        <v>15.371286080241875</v>
      </c>
      <c r="G57" s="4">
        <f t="shared" si="1"/>
        <v>21.094796276331955</v>
      </c>
      <c r="H57" s="2" t="s">
        <v>22</v>
      </c>
      <c r="I57" s="2">
        <v>2</v>
      </c>
      <c r="J57" s="2">
        <v>30.14</v>
      </c>
      <c r="K57" s="2" t="s">
        <v>13</v>
      </c>
    </row>
    <row r="58" spans="1:11" x14ac:dyDescent="0.25">
      <c r="A58" s="3">
        <v>40793</v>
      </c>
      <c r="B58" s="2" t="s">
        <v>73</v>
      </c>
      <c r="C58" s="4">
        <v>12.212191662113808</v>
      </c>
      <c r="D58" s="4">
        <v>11.532942978405607</v>
      </c>
      <c r="E58" s="4">
        <v>119.65128466518026</v>
      </c>
      <c r="F58" s="4">
        <v>34.21009791691246</v>
      </c>
      <c r="G58" s="4">
        <f t="shared" si="1"/>
        <v>28.59150072031608</v>
      </c>
      <c r="H58" s="2" t="s">
        <v>22</v>
      </c>
      <c r="I58" s="2">
        <v>2</v>
      </c>
      <c r="J58" s="2">
        <v>33.67</v>
      </c>
      <c r="K58" s="2" t="s">
        <v>13</v>
      </c>
    </row>
    <row r="59" spans="1:11" x14ac:dyDescent="0.25">
      <c r="A59" s="3">
        <v>40793</v>
      </c>
      <c r="B59" s="2" t="s">
        <v>74</v>
      </c>
      <c r="C59" s="4">
        <v>11.704479177586999</v>
      </c>
      <c r="D59" s="4">
        <v>7.5825626987562202</v>
      </c>
      <c r="E59" s="4">
        <v>68.182691786048949</v>
      </c>
      <c r="F59" s="4">
        <v>24.66815704212107</v>
      </c>
      <c r="G59" s="4">
        <f t="shared" si="1"/>
        <v>36.179500098833721</v>
      </c>
      <c r="H59" s="2" t="s">
        <v>22</v>
      </c>
      <c r="I59" s="2">
        <v>2</v>
      </c>
      <c r="J59" s="2">
        <v>31.03</v>
      </c>
      <c r="K59" s="2" t="s">
        <v>13</v>
      </c>
    </row>
    <row r="60" spans="1:11" x14ac:dyDescent="0.25">
      <c r="A60" s="3">
        <v>40793</v>
      </c>
      <c r="B60" s="2" t="s">
        <v>75</v>
      </c>
      <c r="C60" s="4">
        <v>8.3167000381886957</v>
      </c>
      <c r="D60" s="4">
        <v>10.375725727197771</v>
      </c>
      <c r="E60" s="4">
        <v>67.13008759309804</v>
      </c>
      <c r="F60" s="4">
        <v>8.8105525391236057</v>
      </c>
      <c r="G60" s="4">
        <f t="shared" si="1"/>
        <v>13.12459562473364</v>
      </c>
      <c r="H60" s="2" t="s">
        <v>30</v>
      </c>
      <c r="I60" s="2">
        <v>2</v>
      </c>
      <c r="J60" s="2" t="s">
        <v>12</v>
      </c>
      <c r="K60" s="2" t="s">
        <v>13</v>
      </c>
    </row>
    <row r="61" spans="1:11" x14ac:dyDescent="0.25">
      <c r="A61" s="3">
        <v>40793</v>
      </c>
      <c r="B61" s="2" t="s">
        <v>76</v>
      </c>
      <c r="C61" s="4">
        <v>10.026010576108629</v>
      </c>
      <c r="D61" s="4">
        <v>9.6336175389416177</v>
      </c>
      <c r="E61" s="4">
        <v>80.493380242688374</v>
      </c>
      <c r="F61" s="4">
        <v>27.333008625098582</v>
      </c>
      <c r="G61" s="4">
        <f t="shared" si="1"/>
        <v>33.956840354684168</v>
      </c>
      <c r="H61" s="2" t="s">
        <v>30</v>
      </c>
      <c r="I61" s="2">
        <v>2</v>
      </c>
      <c r="J61" s="2" t="s">
        <v>12</v>
      </c>
      <c r="K61" s="2" t="s">
        <v>13</v>
      </c>
    </row>
    <row r="62" spans="1:11" x14ac:dyDescent="0.25">
      <c r="A62" s="3">
        <v>40793</v>
      </c>
      <c r="B62" s="2" t="s">
        <v>77</v>
      </c>
      <c r="C62" s="4">
        <v>9.3527762948922017</v>
      </c>
      <c r="D62" s="4">
        <v>8.1459087047211653</v>
      </c>
      <c r="E62" s="4">
        <v>58.620541074893701</v>
      </c>
      <c r="F62" s="4">
        <v>9.7470014669832654</v>
      </c>
      <c r="G62" s="4">
        <f t="shared" si="1"/>
        <v>16.627279940201305</v>
      </c>
      <c r="H62" s="2" t="s">
        <v>22</v>
      </c>
      <c r="I62" s="2">
        <v>2</v>
      </c>
      <c r="J62" s="4">
        <v>30.325911744945245</v>
      </c>
      <c r="K62" s="2" t="s">
        <v>13</v>
      </c>
    </row>
    <row r="63" spans="1:11" x14ac:dyDescent="0.25">
      <c r="A63" s="3">
        <v>40793</v>
      </c>
      <c r="B63" s="2" t="s">
        <v>78</v>
      </c>
      <c r="C63" s="4">
        <v>6.1318034473305545</v>
      </c>
      <c r="D63" s="4">
        <v>6.6494411204039254</v>
      </c>
      <c r="E63" s="4">
        <v>35.52214716653436</v>
      </c>
      <c r="F63" s="4">
        <v>1.1700161610647608</v>
      </c>
      <c r="G63" s="4">
        <f t="shared" si="1"/>
        <v>3.2937653109185936</v>
      </c>
      <c r="H63" s="2" t="s">
        <v>22</v>
      </c>
      <c r="I63" s="2">
        <v>2</v>
      </c>
      <c r="J63" s="4">
        <v>30.097280177813936</v>
      </c>
      <c r="K63" s="2" t="s">
        <v>13</v>
      </c>
    </row>
    <row r="64" spans="1:11" x14ac:dyDescent="0.25">
      <c r="A64" s="3">
        <v>40793</v>
      </c>
      <c r="B64" s="2" t="s">
        <v>79</v>
      </c>
      <c r="C64" s="4">
        <v>7.2557788126788498</v>
      </c>
      <c r="D64" s="4">
        <v>6.3925650430979841</v>
      </c>
      <c r="E64" s="4">
        <v>40.098200400420801</v>
      </c>
      <c r="F64" s="4">
        <v>8.6518617237665651</v>
      </c>
      <c r="G64" s="4">
        <f t="shared" si="1"/>
        <v>21.57668333583312</v>
      </c>
      <c r="H64" s="2" t="s">
        <v>30</v>
      </c>
      <c r="I64" s="2">
        <v>2</v>
      </c>
      <c r="J64" s="2" t="s">
        <v>12</v>
      </c>
      <c r="K64" s="2" t="s">
        <v>13</v>
      </c>
    </row>
    <row r="65" spans="1:11" x14ac:dyDescent="0.25">
      <c r="A65" s="3">
        <v>40821</v>
      </c>
      <c r="B65" s="2" t="s">
        <v>80</v>
      </c>
      <c r="C65" s="4">
        <v>7.783175784539992</v>
      </c>
      <c r="D65" s="4">
        <v>7.6952524727114762</v>
      </c>
      <c r="E65" s="4">
        <v>47.790364190409136</v>
      </c>
      <c r="F65" s="4">
        <v>6.2465962559625998</v>
      </c>
      <c r="G65" s="4">
        <f t="shared" si="1"/>
        <v>13.070827899688208</v>
      </c>
      <c r="H65" s="2" t="s">
        <v>22</v>
      </c>
      <c r="I65" s="2">
        <v>2</v>
      </c>
      <c r="J65" s="4">
        <v>33.238859546550614</v>
      </c>
      <c r="K65" s="2" t="s">
        <v>13</v>
      </c>
    </row>
    <row r="66" spans="1:11" x14ac:dyDescent="0.25">
      <c r="A66" s="3">
        <v>40821</v>
      </c>
      <c r="B66" s="2" t="s">
        <v>81</v>
      </c>
      <c r="C66" s="4">
        <v>6.374765480274772</v>
      </c>
      <c r="D66" s="4">
        <v>9.3955571810398855</v>
      </c>
      <c r="E66" s="4">
        <v>49.955548086890722</v>
      </c>
      <c r="F66" s="4">
        <v>8.5492737219195902</v>
      </c>
      <c r="G66" s="4">
        <f t="shared" si="1"/>
        <v>17.113762233274507</v>
      </c>
      <c r="H66" s="2" t="s">
        <v>22</v>
      </c>
      <c r="I66" s="2">
        <v>2</v>
      </c>
      <c r="J66" s="4">
        <v>32.589946259996417</v>
      </c>
      <c r="K66" s="2" t="s">
        <v>13</v>
      </c>
    </row>
    <row r="67" spans="1:11" x14ac:dyDescent="0.25">
      <c r="A67" s="3">
        <v>40821</v>
      </c>
      <c r="B67" s="2" t="s">
        <v>82</v>
      </c>
      <c r="C67" s="4">
        <v>6.5375162025599094</v>
      </c>
      <c r="D67" s="4">
        <v>7.9850194034505293</v>
      </c>
      <c r="E67" s="4">
        <v>46.806622193698026</v>
      </c>
      <c r="F67" s="4">
        <v>9.8439599522288876</v>
      </c>
      <c r="G67" s="4">
        <f t="shared" si="1"/>
        <v>21.031126560451234</v>
      </c>
      <c r="H67" s="2" t="s">
        <v>22</v>
      </c>
      <c r="I67" s="2">
        <v>2</v>
      </c>
      <c r="J67" s="4">
        <v>32.596294269157241</v>
      </c>
      <c r="K67" s="2" t="s">
        <v>13</v>
      </c>
    </row>
    <row r="68" spans="1:11" x14ac:dyDescent="0.25">
      <c r="A68" s="3">
        <v>40821</v>
      </c>
      <c r="B68" s="2" t="s">
        <v>83</v>
      </c>
      <c r="C68" s="4">
        <v>8.7056543533781738</v>
      </c>
      <c r="D68" s="4">
        <v>9.7421226555912472</v>
      </c>
      <c r="E68" s="4">
        <v>67.478681623374072</v>
      </c>
      <c r="F68" s="4">
        <v>0</v>
      </c>
      <c r="G68" s="4">
        <f t="shared" si="1"/>
        <v>0</v>
      </c>
      <c r="H68" s="2" t="s">
        <v>22</v>
      </c>
      <c r="I68" s="2" t="s">
        <v>12</v>
      </c>
      <c r="J68" s="2" t="s">
        <v>12</v>
      </c>
      <c r="K68" s="2" t="s">
        <v>37</v>
      </c>
    </row>
    <row r="69" spans="1:11" x14ac:dyDescent="0.25">
      <c r="A69" s="3">
        <v>40821</v>
      </c>
      <c r="B69" s="2" t="s">
        <v>84</v>
      </c>
      <c r="C69" s="4">
        <v>7.9465813425569358</v>
      </c>
      <c r="D69" s="4">
        <v>7.5444065101127844</v>
      </c>
      <c r="E69" s="4">
        <v>47.834515501704033</v>
      </c>
      <c r="F69" s="4">
        <v>1.6624642169307073</v>
      </c>
      <c r="G69" s="4">
        <f t="shared" si="1"/>
        <v>3.4754490549224535</v>
      </c>
      <c r="H69" s="2" t="s">
        <v>22</v>
      </c>
      <c r="I69" s="2">
        <v>2</v>
      </c>
      <c r="J69" s="2">
        <v>30.68</v>
      </c>
      <c r="K69" s="2" t="s">
        <v>13</v>
      </c>
    </row>
    <row r="70" spans="1:11" x14ac:dyDescent="0.25">
      <c r="A70" s="3">
        <v>40821</v>
      </c>
      <c r="B70" s="2" t="s">
        <v>85</v>
      </c>
      <c r="C70" s="4">
        <v>6.9626782727028846</v>
      </c>
      <c r="D70" s="4">
        <v>10.19229075402526</v>
      </c>
      <c r="E70" s="4">
        <v>60.114363440288209</v>
      </c>
      <c r="F70" s="4">
        <v>0.27172996989217757</v>
      </c>
      <c r="G70" s="4">
        <f t="shared" si="1"/>
        <v>0.45202170386797458</v>
      </c>
      <c r="H70" s="2" t="s">
        <v>30</v>
      </c>
      <c r="I70" s="2">
        <v>3</v>
      </c>
      <c r="J70" s="2" t="s">
        <v>12</v>
      </c>
      <c r="K70" s="2" t="s">
        <v>13</v>
      </c>
    </row>
    <row r="71" spans="1:11" x14ac:dyDescent="0.25">
      <c r="A71" s="3">
        <v>40821</v>
      </c>
      <c r="B71" s="2" t="s">
        <v>86</v>
      </c>
      <c r="C71" s="4">
        <v>6.5994004556854566</v>
      </c>
      <c r="D71" s="4">
        <v>7.3651753955426882</v>
      </c>
      <c r="E71" s="4">
        <v>40.092929941825915</v>
      </c>
      <c r="F71" s="4">
        <v>2.1710827065877836</v>
      </c>
      <c r="G71" s="4">
        <f t="shared" si="1"/>
        <v>5.415126082673388</v>
      </c>
      <c r="H71" s="2" t="s">
        <v>22</v>
      </c>
      <c r="I71" s="2">
        <v>2</v>
      </c>
      <c r="J71" s="4">
        <v>27.676935182590075</v>
      </c>
      <c r="K71" s="2" t="s">
        <v>13</v>
      </c>
    </row>
    <row r="72" spans="1:11" x14ac:dyDescent="0.25">
      <c r="A72" s="3">
        <v>40849</v>
      </c>
      <c r="B72" s="2" t="s">
        <v>87</v>
      </c>
      <c r="C72" s="4">
        <v>10.452703359182001</v>
      </c>
      <c r="D72" s="4">
        <v>11.496115239021949</v>
      </c>
      <c r="E72" s="4">
        <v>80.737142158577015</v>
      </c>
      <c r="F72" s="4">
        <v>4.8844712379391433E-2</v>
      </c>
      <c r="G72" s="4">
        <f t="shared" si="1"/>
        <v>6.0498441081125724E-2</v>
      </c>
      <c r="H72" s="2" t="s">
        <v>22</v>
      </c>
      <c r="I72" s="2">
        <v>3</v>
      </c>
      <c r="J72" s="4">
        <v>37.731468330525459</v>
      </c>
      <c r="K72" s="2" t="s">
        <v>13</v>
      </c>
    </row>
    <row r="73" spans="1:11" x14ac:dyDescent="0.25">
      <c r="A73" s="3">
        <v>40849</v>
      </c>
      <c r="B73" s="2" t="s">
        <v>88</v>
      </c>
      <c r="C73" s="4">
        <v>9.2770435509778206</v>
      </c>
      <c r="D73" s="4">
        <v>6.39311528112672</v>
      </c>
      <c r="E73" s="4">
        <v>44.808810622229785</v>
      </c>
      <c r="F73" s="4">
        <v>8.9828619117258326E-2</v>
      </c>
      <c r="G73" s="4">
        <f t="shared" si="1"/>
        <v>0.20047088478776556</v>
      </c>
      <c r="H73" s="2" t="s">
        <v>22</v>
      </c>
      <c r="I73" s="2">
        <v>3</v>
      </c>
      <c r="J73" s="4">
        <v>33.266750103878486</v>
      </c>
      <c r="K73" s="2" t="s">
        <v>13</v>
      </c>
    </row>
    <row r="74" spans="1:11" x14ac:dyDescent="0.25">
      <c r="A74" s="3">
        <v>40849</v>
      </c>
      <c r="B74" s="2" t="s">
        <v>89</v>
      </c>
      <c r="C74" s="4">
        <v>6.4900609721960816</v>
      </c>
      <c r="D74" s="4">
        <v>6.3142743709690121</v>
      </c>
      <c r="E74" s="4">
        <v>31.718337940051264</v>
      </c>
      <c r="F74" s="4">
        <v>6.9131489744630931E-2</v>
      </c>
      <c r="G74" s="4">
        <f t="shared" si="1"/>
        <v>0.21795432621750799</v>
      </c>
      <c r="H74" s="2" t="s">
        <v>22</v>
      </c>
      <c r="I74" s="2">
        <v>3</v>
      </c>
      <c r="J74" s="4">
        <v>28.821198430759608</v>
      </c>
      <c r="K74" s="2" t="s">
        <v>13</v>
      </c>
    </row>
    <row r="75" spans="1:11" x14ac:dyDescent="0.25">
      <c r="A75" s="3">
        <v>40849</v>
      </c>
      <c r="B75" s="2" t="s">
        <v>90</v>
      </c>
      <c r="C75" s="4">
        <v>9.9925089188275269</v>
      </c>
      <c r="D75" s="4">
        <v>7.6751474710308765</v>
      </c>
      <c r="E75" s="4">
        <v>59.09293317639856</v>
      </c>
      <c r="F75" s="4">
        <v>3.2026050651591267</v>
      </c>
      <c r="G75" s="4">
        <f t="shared" si="1"/>
        <v>5.4196075452863663</v>
      </c>
      <c r="H75" s="2" t="s">
        <v>22</v>
      </c>
      <c r="I75" s="2">
        <v>2</v>
      </c>
      <c r="J75" s="4">
        <v>34.528679075536438</v>
      </c>
      <c r="K75" s="2" t="s">
        <v>13</v>
      </c>
    </row>
    <row r="76" spans="1:11" x14ac:dyDescent="0.25">
      <c r="A76" s="3">
        <v>40849</v>
      </c>
      <c r="B76" s="2" t="s">
        <v>91</v>
      </c>
      <c r="C76" s="4">
        <v>8.6576741930348273</v>
      </c>
      <c r="D76" s="4">
        <v>9.7468768445108509</v>
      </c>
      <c r="E76" s="4">
        <v>67.877825891560192</v>
      </c>
      <c r="F76" s="4">
        <v>0</v>
      </c>
      <c r="G76" s="4">
        <f t="shared" si="1"/>
        <v>0</v>
      </c>
      <c r="H76" s="2" t="s">
        <v>12</v>
      </c>
      <c r="I76" s="2" t="s">
        <v>12</v>
      </c>
      <c r="J76" s="2" t="s">
        <v>12</v>
      </c>
      <c r="K76" s="2" t="s">
        <v>37</v>
      </c>
    </row>
    <row r="77" spans="1:11" x14ac:dyDescent="0.25">
      <c r="A77" s="3">
        <v>40849</v>
      </c>
      <c r="B77" s="2" t="s">
        <v>92</v>
      </c>
      <c r="C77" s="4">
        <v>7.0953550286420422</v>
      </c>
      <c r="D77" s="4">
        <v>6.6440103468183613</v>
      </c>
      <c r="E77" s="4">
        <v>37.840700125777175</v>
      </c>
      <c r="F77" s="4">
        <v>0.11119257050189109</v>
      </c>
      <c r="G77" s="4">
        <f t="shared" si="1"/>
        <v>0.29384385101835481</v>
      </c>
      <c r="H77" s="2" t="s">
        <v>22</v>
      </c>
      <c r="I77" s="2">
        <v>3</v>
      </c>
      <c r="J77" s="2">
        <v>35.24</v>
      </c>
      <c r="K77" s="2" t="s">
        <v>13</v>
      </c>
    </row>
    <row r="78" spans="1:11" x14ac:dyDescent="0.25">
      <c r="A78" s="3">
        <v>40849</v>
      </c>
      <c r="B78" s="2" t="s">
        <v>93</v>
      </c>
      <c r="C78" s="4">
        <v>7.9162714888810264</v>
      </c>
      <c r="D78" s="4">
        <v>7.3052880976974812</v>
      </c>
      <c r="E78" s="4">
        <v>47.176528881357754</v>
      </c>
      <c r="F78" s="4">
        <v>2.7730306309251453</v>
      </c>
      <c r="G78" s="4">
        <f t="shared" si="1"/>
        <v>5.8779878398830956</v>
      </c>
      <c r="H78" s="2" t="s">
        <v>30</v>
      </c>
      <c r="I78" s="2">
        <v>2</v>
      </c>
      <c r="J78" s="2" t="s">
        <v>12</v>
      </c>
      <c r="K78" s="2" t="s">
        <v>13</v>
      </c>
    </row>
    <row r="79" spans="1:11" x14ac:dyDescent="0.25">
      <c r="A79" s="3">
        <v>40883</v>
      </c>
      <c r="B79" s="2" t="s">
        <v>94</v>
      </c>
      <c r="C79" s="4">
        <v>7.9162568541009399</v>
      </c>
      <c r="D79" s="4">
        <v>7.3053014889006178</v>
      </c>
      <c r="E79" s="4">
        <v>47.176528881357754</v>
      </c>
      <c r="F79" s="4">
        <v>0</v>
      </c>
      <c r="G79" s="4">
        <f t="shared" si="1"/>
        <v>0</v>
      </c>
      <c r="H79" s="2" t="s">
        <v>12</v>
      </c>
      <c r="I79" s="2">
        <v>4</v>
      </c>
      <c r="J79" s="2" t="s">
        <v>12</v>
      </c>
      <c r="K79" s="2" t="s">
        <v>13</v>
      </c>
    </row>
    <row r="80" spans="1:11" x14ac:dyDescent="0.25">
      <c r="A80" s="3">
        <v>40883</v>
      </c>
      <c r="B80" s="2" t="s">
        <v>95</v>
      </c>
      <c r="C80" s="4">
        <v>9.7295872043792428</v>
      </c>
      <c r="D80" s="4">
        <v>9.1416970407731455</v>
      </c>
      <c r="E80" s="4">
        <v>74.134180831198478</v>
      </c>
      <c r="F80" s="4">
        <v>0</v>
      </c>
      <c r="G80" s="4">
        <f t="shared" si="1"/>
        <v>0</v>
      </c>
      <c r="H80" s="2" t="s">
        <v>12</v>
      </c>
      <c r="I80" s="2">
        <v>4</v>
      </c>
      <c r="J80" s="2" t="s">
        <v>12</v>
      </c>
      <c r="K80" s="2" t="s">
        <v>13</v>
      </c>
    </row>
    <row r="81" spans="1:11" x14ac:dyDescent="0.25">
      <c r="A81" s="3">
        <v>40883</v>
      </c>
      <c r="B81" s="2" t="s">
        <v>96</v>
      </c>
      <c r="C81" s="4">
        <v>10.261594466718586</v>
      </c>
      <c r="D81" s="4">
        <v>8.4444859919654949</v>
      </c>
      <c r="E81" s="4">
        <v>71.290518361001702</v>
      </c>
      <c r="F81" s="4">
        <v>0</v>
      </c>
      <c r="G81" s="4">
        <f t="shared" si="1"/>
        <v>0</v>
      </c>
      <c r="H81" s="2" t="s">
        <v>12</v>
      </c>
      <c r="I81" s="2">
        <v>4</v>
      </c>
      <c r="J81" s="2" t="s">
        <v>12</v>
      </c>
      <c r="K81" s="2" t="s">
        <v>34</v>
      </c>
    </row>
    <row r="82" spans="1:11" x14ac:dyDescent="0.25">
      <c r="A82" s="3">
        <v>40883</v>
      </c>
      <c r="B82" s="2" t="s">
        <v>97</v>
      </c>
      <c r="C82" s="4">
        <v>6.076327943702589</v>
      </c>
      <c r="D82" s="4">
        <v>4.9390746814006041</v>
      </c>
      <c r="E82" s="4">
        <v>25.561993478713543</v>
      </c>
      <c r="F82" s="4">
        <v>0</v>
      </c>
      <c r="G82" s="4">
        <f t="shared" si="1"/>
        <v>0</v>
      </c>
      <c r="H82" s="2" t="s">
        <v>12</v>
      </c>
      <c r="I82" s="2">
        <v>4</v>
      </c>
      <c r="J82" s="2" t="s">
        <v>12</v>
      </c>
      <c r="K82" s="2" t="s">
        <v>13</v>
      </c>
    </row>
    <row r="83" spans="1:11" x14ac:dyDescent="0.25">
      <c r="A83" s="3">
        <v>40883</v>
      </c>
      <c r="B83" s="2" t="s">
        <v>98</v>
      </c>
      <c r="C83" s="4">
        <v>8.9223420408535166</v>
      </c>
      <c r="D83" s="4">
        <v>8.8578820337039819</v>
      </c>
      <c r="E83" s="4">
        <v>63.69442823474305</v>
      </c>
      <c r="F83" s="4">
        <v>0.43161337077068967</v>
      </c>
      <c r="G83" s="4">
        <f t="shared" si="1"/>
        <v>0.67763128225281699</v>
      </c>
      <c r="H83" s="2" t="s">
        <v>22</v>
      </c>
      <c r="I83" s="2">
        <v>1</v>
      </c>
      <c r="J83" s="2">
        <v>15.93</v>
      </c>
      <c r="K83" s="2" t="s">
        <v>13</v>
      </c>
    </row>
    <row r="84" spans="1:11" x14ac:dyDescent="0.25">
      <c r="A84" s="3">
        <v>40883</v>
      </c>
      <c r="B84" s="2" t="s">
        <v>99</v>
      </c>
      <c r="C84" s="4">
        <v>8.6788554368041897</v>
      </c>
      <c r="D84" s="4">
        <v>7.7767907473441698</v>
      </c>
      <c r="E84" s="4">
        <v>55.943866224703328</v>
      </c>
      <c r="F84" s="4">
        <v>0</v>
      </c>
      <c r="G84" s="4">
        <f t="shared" si="1"/>
        <v>0</v>
      </c>
      <c r="H84" s="2" t="s">
        <v>12</v>
      </c>
      <c r="I84" s="2">
        <v>4</v>
      </c>
      <c r="J84" s="2" t="s">
        <v>12</v>
      </c>
      <c r="K84" s="2" t="s">
        <v>13</v>
      </c>
    </row>
    <row r="85" spans="1:11" x14ac:dyDescent="0.25">
      <c r="A85" s="3">
        <v>40883</v>
      </c>
      <c r="B85" s="2" t="s">
        <v>100</v>
      </c>
      <c r="C85" s="4">
        <v>6.7822987524046976</v>
      </c>
      <c r="D85" s="4">
        <v>5.7917434373922108</v>
      </c>
      <c r="E85" s="4">
        <v>29.679734814348617</v>
      </c>
      <c r="F85" s="4">
        <v>0.14681625414325344</v>
      </c>
      <c r="G85" s="4">
        <f t="shared" si="1"/>
        <v>0.49466834882997462</v>
      </c>
      <c r="H85" s="2" t="s">
        <v>30</v>
      </c>
      <c r="I85" s="2">
        <v>3</v>
      </c>
      <c r="J85" s="2" t="s">
        <v>12</v>
      </c>
      <c r="K85" s="2" t="s">
        <v>34</v>
      </c>
    </row>
  </sheetData>
  <conditionalFormatting sqref="A2:A8">
    <cfRule type="expression" dxfId="35" priority="23" stopIfTrue="1">
      <formula>IF(CELL("type",A2)="v","TRUE","FALSE")</formula>
    </cfRule>
    <cfRule type="expression" dxfId="34" priority="24" stopIfTrue="1">
      <formula>IF(CELL("type",A2)="l","TRUE","FALSE")</formula>
    </cfRule>
  </conditionalFormatting>
  <conditionalFormatting sqref="A9:A15">
    <cfRule type="expression" dxfId="33" priority="21" stopIfTrue="1">
      <formula>IF(CELL("type",A9)="v","TRUE","FALSE")</formula>
    </cfRule>
    <cfRule type="expression" dxfId="32" priority="22" stopIfTrue="1">
      <formula>IF(CELL("type",A9)="l","TRUE","FALSE")</formula>
    </cfRule>
  </conditionalFormatting>
  <conditionalFormatting sqref="A16:A22">
    <cfRule type="expression" dxfId="31" priority="19" stopIfTrue="1">
      <formula>IF(CELL("type",A16)="v","TRUE","FALSE")</formula>
    </cfRule>
    <cfRule type="expression" dxfId="30" priority="20" stopIfTrue="1">
      <formula>IF(CELL("type",A16)="l","TRUE","FALSE")</formula>
    </cfRule>
  </conditionalFormatting>
  <conditionalFormatting sqref="A23:A29">
    <cfRule type="expression" dxfId="29" priority="17" stopIfTrue="1">
      <formula>IF(CELL("type",A23)="v","TRUE","FALSE")</formula>
    </cfRule>
    <cfRule type="expression" dxfId="28" priority="18" stopIfTrue="1">
      <formula>IF(CELL("type",A23)="l","TRUE","FALSE")</formula>
    </cfRule>
  </conditionalFormatting>
  <conditionalFormatting sqref="A30:A36">
    <cfRule type="expression" dxfId="27" priority="15" stopIfTrue="1">
      <formula>IF(CELL("type",A30)="v","TRUE","FALSE")</formula>
    </cfRule>
    <cfRule type="expression" dxfId="26" priority="16" stopIfTrue="1">
      <formula>IF(CELL("type",A30)="l","TRUE","FALSE")</formula>
    </cfRule>
  </conditionalFormatting>
  <conditionalFormatting sqref="A37:A43">
    <cfRule type="expression" dxfId="25" priority="13" stopIfTrue="1">
      <formula>IF(CELL("type",A37)="v","TRUE","FALSE")</formula>
    </cfRule>
    <cfRule type="expression" dxfId="24" priority="14" stopIfTrue="1">
      <formula>IF(CELL("type",A37)="l","TRUE","FALSE")</formula>
    </cfRule>
  </conditionalFormatting>
  <conditionalFormatting sqref="A44:A50">
    <cfRule type="expression" dxfId="23" priority="11" stopIfTrue="1">
      <formula>IF(CELL("type",A44)="v","TRUE","FALSE")</formula>
    </cfRule>
    <cfRule type="expression" dxfId="22" priority="12" stopIfTrue="1">
      <formula>IF(CELL("type",A44)="l","TRUE","FALSE")</formula>
    </cfRule>
  </conditionalFormatting>
  <conditionalFormatting sqref="A51:A57">
    <cfRule type="expression" dxfId="21" priority="9" stopIfTrue="1">
      <formula>IF(CELL("type",A51)="v","TRUE","FALSE")</formula>
    </cfRule>
    <cfRule type="expression" dxfId="20" priority="10" stopIfTrue="1">
      <formula>IF(CELL("type",A51)="l","TRUE","FALSE")</formula>
    </cfRule>
  </conditionalFormatting>
  <conditionalFormatting sqref="A58:A64">
    <cfRule type="expression" dxfId="19" priority="7" stopIfTrue="1">
      <formula>IF(CELL("type",A58)="v","TRUE","FALSE")</formula>
    </cfRule>
    <cfRule type="expression" dxfId="18" priority="8" stopIfTrue="1">
      <formula>IF(CELL("type",A58)="l","TRUE","FALSE")</formula>
    </cfRule>
  </conditionalFormatting>
  <conditionalFormatting sqref="A65:A71">
    <cfRule type="expression" dxfId="17" priority="5" stopIfTrue="1">
      <formula>IF(CELL("type",A65)="v","TRUE","FALSE")</formula>
    </cfRule>
    <cfRule type="expression" dxfId="16" priority="6" stopIfTrue="1">
      <formula>IF(CELL("type",A65)="l","TRUE","FALSE")</formula>
    </cfRule>
  </conditionalFormatting>
  <conditionalFormatting sqref="A72:A78">
    <cfRule type="expression" dxfId="15" priority="3" stopIfTrue="1">
      <formula>IF(CELL("type",A72)="v","TRUE","FALSE")</formula>
    </cfRule>
    <cfRule type="expression" dxfId="14" priority="4" stopIfTrue="1">
      <formula>IF(CELL("type",A72)="l","TRUE","FALSE")</formula>
    </cfRule>
  </conditionalFormatting>
  <conditionalFormatting sqref="A79:A85">
    <cfRule type="expression" dxfId="13" priority="1" stopIfTrue="1">
      <formula>IF(CELL("type",A79)="v","TRUE","FALSE")</formula>
    </cfRule>
    <cfRule type="expression" dxfId="12" priority="2" stopIfTrue="1">
      <formula>IF(CELL("type",A79)="l","TRUE","FALSE")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493C-01AC-446E-9EB9-B942B8AC6C56}">
  <dimension ref="A1:L181"/>
  <sheetViews>
    <sheetView workbookViewId="0">
      <pane ySplit="1" topLeftCell="A2" activePane="bottomLeft" state="frozen"/>
      <selection pane="bottomLeft" activeCell="H23" sqref="H23"/>
    </sheetView>
  </sheetViews>
  <sheetFormatPr defaultRowHeight="15" x14ac:dyDescent="0.25"/>
  <cols>
    <col min="6" max="6" width="11.28515625" customWidth="1"/>
    <col min="7" max="7" width="11.7109375" customWidth="1"/>
    <col min="8" max="8" width="10.7109375" customWidth="1"/>
    <col min="9" max="9" width="10.28515625" customWidth="1"/>
    <col min="11" max="11" width="12.85546875" customWidth="1"/>
    <col min="12" max="12" width="9.5703125" customWidth="1"/>
  </cols>
  <sheetData>
    <row r="1" spans="1:12" ht="30.75" customHeight="1" x14ac:dyDescent="0.25">
      <c r="A1" s="5" t="s">
        <v>0</v>
      </c>
      <c r="B1" s="6" t="s">
        <v>101</v>
      </c>
      <c r="C1" s="7" t="s">
        <v>102</v>
      </c>
      <c r="D1" s="7" t="s">
        <v>103</v>
      </c>
      <c r="E1" s="8" t="s">
        <v>104</v>
      </c>
      <c r="F1" s="9" t="s">
        <v>105</v>
      </c>
      <c r="G1" s="9" t="s">
        <v>106</v>
      </c>
      <c r="H1" s="9" t="s">
        <v>107</v>
      </c>
      <c r="I1" s="9" t="s">
        <v>108</v>
      </c>
      <c r="J1" s="9" t="s">
        <v>109</v>
      </c>
      <c r="K1" s="9" t="s">
        <v>110</v>
      </c>
      <c r="L1" s="9" t="s">
        <v>111</v>
      </c>
    </row>
    <row r="2" spans="1:12" x14ac:dyDescent="0.25">
      <c r="A2" s="3">
        <v>40548</v>
      </c>
      <c r="B2" s="5" t="s">
        <v>112</v>
      </c>
      <c r="C2" s="2">
        <v>841</v>
      </c>
      <c r="D2" s="2">
        <v>1</v>
      </c>
      <c r="E2" s="10">
        <v>91</v>
      </c>
      <c r="F2" s="4">
        <v>84.23</v>
      </c>
      <c r="G2" s="4">
        <v>1.01</v>
      </c>
      <c r="H2" s="4">
        <v>14.5</v>
      </c>
      <c r="I2" s="4">
        <v>2.4300000000000002</v>
      </c>
      <c r="J2" s="4">
        <v>51.78</v>
      </c>
      <c r="K2" s="4">
        <f t="shared" ref="K2:K65" si="0">I2-G2</f>
        <v>1.4200000000000002</v>
      </c>
      <c r="L2" s="4">
        <f t="shared" ref="L2:L65" si="1">(K2/J2)*100</f>
        <v>2.7423715720355353</v>
      </c>
    </row>
    <row r="3" spans="1:12" x14ac:dyDescent="0.25">
      <c r="A3" s="3">
        <v>40548</v>
      </c>
      <c r="B3" s="5" t="s">
        <v>112</v>
      </c>
      <c r="C3" s="2">
        <v>842</v>
      </c>
      <c r="D3" s="2">
        <v>1</v>
      </c>
      <c r="E3" s="10">
        <v>70</v>
      </c>
      <c r="F3" s="4">
        <v>65.25</v>
      </c>
      <c r="G3" s="4">
        <v>1.01</v>
      </c>
      <c r="H3" s="4">
        <v>12.2</v>
      </c>
      <c r="I3" s="4">
        <v>2.0699999999999998</v>
      </c>
      <c r="J3" s="4">
        <v>41.36</v>
      </c>
      <c r="K3" s="4">
        <f t="shared" si="0"/>
        <v>1.0599999999999998</v>
      </c>
      <c r="L3" s="4">
        <f t="shared" si="1"/>
        <v>2.5628626692456478</v>
      </c>
    </row>
    <row r="4" spans="1:12" x14ac:dyDescent="0.25">
      <c r="A4" s="3">
        <v>40548</v>
      </c>
      <c r="B4" s="5" t="s">
        <v>112</v>
      </c>
      <c r="C4" s="2">
        <v>843</v>
      </c>
      <c r="D4" s="2">
        <v>1</v>
      </c>
      <c r="E4" s="10">
        <v>70.599999999999994</v>
      </c>
      <c r="F4" s="4">
        <v>36.409999999999997</v>
      </c>
      <c r="G4" s="4">
        <v>0.98</v>
      </c>
      <c r="H4" s="4">
        <v>10.79</v>
      </c>
      <c r="I4" s="4">
        <v>1.97</v>
      </c>
      <c r="J4" s="4">
        <v>20.69</v>
      </c>
      <c r="K4" s="4">
        <f t="shared" si="0"/>
        <v>0.99</v>
      </c>
      <c r="L4" s="4">
        <f t="shared" si="1"/>
        <v>4.7849202513291447</v>
      </c>
    </row>
    <row r="5" spans="1:12" x14ac:dyDescent="0.25">
      <c r="A5" s="3">
        <v>40548</v>
      </c>
      <c r="B5" s="5" t="s">
        <v>112</v>
      </c>
      <c r="C5" s="2">
        <v>844</v>
      </c>
      <c r="D5" s="2">
        <v>1</v>
      </c>
      <c r="E5" s="10">
        <v>62.6</v>
      </c>
      <c r="F5" s="4">
        <v>31.79</v>
      </c>
      <c r="G5" s="4">
        <v>1.04</v>
      </c>
      <c r="H5" s="4">
        <v>7.26</v>
      </c>
      <c r="I5" s="4">
        <v>1.74</v>
      </c>
      <c r="J5" s="4">
        <v>20.78</v>
      </c>
      <c r="K5" s="4">
        <f t="shared" si="0"/>
        <v>0.7</v>
      </c>
      <c r="L5" s="4">
        <f t="shared" si="1"/>
        <v>3.3686236766121267</v>
      </c>
    </row>
    <row r="6" spans="1:12" x14ac:dyDescent="0.25">
      <c r="A6" s="3">
        <v>40548</v>
      </c>
      <c r="B6" s="5" t="s">
        <v>112</v>
      </c>
      <c r="C6" s="2">
        <v>845</v>
      </c>
      <c r="D6" s="2">
        <v>1</v>
      </c>
      <c r="E6" s="10">
        <v>63.9</v>
      </c>
      <c r="F6" s="4">
        <v>35.409999999999997</v>
      </c>
      <c r="G6" s="4">
        <v>1.05</v>
      </c>
      <c r="H6" s="4">
        <v>9.27</v>
      </c>
      <c r="I6" s="4">
        <v>1.71</v>
      </c>
      <c r="J6" s="4">
        <v>21.86</v>
      </c>
      <c r="K6" s="4">
        <f t="shared" si="0"/>
        <v>0.65999999999999992</v>
      </c>
      <c r="L6" s="4">
        <f t="shared" si="1"/>
        <v>3.0192131747483986</v>
      </c>
    </row>
    <row r="7" spans="1:12" x14ac:dyDescent="0.25">
      <c r="A7" s="3">
        <v>40548</v>
      </c>
      <c r="B7" s="5" t="s">
        <v>112</v>
      </c>
      <c r="C7" s="2">
        <v>846</v>
      </c>
      <c r="D7" s="2">
        <v>2</v>
      </c>
      <c r="E7" s="10">
        <v>56.5</v>
      </c>
      <c r="F7" s="4">
        <v>30.73</v>
      </c>
      <c r="G7" s="4">
        <v>1.04</v>
      </c>
      <c r="H7" s="4">
        <v>6.31</v>
      </c>
      <c r="I7" s="4">
        <v>1.7</v>
      </c>
      <c r="J7" s="4">
        <v>19.899999999999999</v>
      </c>
      <c r="K7" s="4">
        <f t="shared" si="0"/>
        <v>0.65999999999999992</v>
      </c>
      <c r="L7" s="4">
        <f t="shared" si="1"/>
        <v>3.316582914572864</v>
      </c>
    </row>
    <row r="8" spans="1:12" x14ac:dyDescent="0.25">
      <c r="A8" s="3">
        <v>40548</v>
      </c>
      <c r="B8" s="5" t="s">
        <v>112</v>
      </c>
      <c r="C8" s="2">
        <v>847</v>
      </c>
      <c r="D8" s="2">
        <v>2</v>
      </c>
      <c r="E8" s="10">
        <v>52.3</v>
      </c>
      <c r="F8" s="4">
        <v>30.06</v>
      </c>
      <c r="G8" s="4">
        <v>1</v>
      </c>
      <c r="H8" s="4">
        <v>5.64</v>
      </c>
      <c r="I8" s="4">
        <v>1.57</v>
      </c>
      <c r="J8" s="4">
        <v>21.86</v>
      </c>
      <c r="K8" s="4">
        <f t="shared" si="0"/>
        <v>0.57000000000000006</v>
      </c>
      <c r="L8" s="4">
        <f t="shared" si="1"/>
        <v>2.6075022872827085</v>
      </c>
    </row>
    <row r="9" spans="1:12" x14ac:dyDescent="0.25">
      <c r="A9" s="3">
        <v>40548</v>
      </c>
      <c r="B9" s="5" t="s">
        <v>112</v>
      </c>
      <c r="C9" s="2">
        <v>848</v>
      </c>
      <c r="D9" s="2">
        <v>2</v>
      </c>
      <c r="E9" s="10">
        <v>51</v>
      </c>
      <c r="F9" s="4">
        <v>21.54</v>
      </c>
      <c r="G9" s="4">
        <v>1</v>
      </c>
      <c r="H9" s="4">
        <v>4.9800000000000004</v>
      </c>
      <c r="I9" s="4">
        <v>1.52</v>
      </c>
      <c r="J9" s="4">
        <v>14.25</v>
      </c>
      <c r="K9" s="4">
        <f t="shared" si="0"/>
        <v>0.52</v>
      </c>
      <c r="L9" s="4">
        <f t="shared" si="1"/>
        <v>3.6491228070175441</v>
      </c>
    </row>
    <row r="10" spans="1:12" x14ac:dyDescent="0.25">
      <c r="A10" s="3">
        <v>40548</v>
      </c>
      <c r="B10" s="5" t="s">
        <v>112</v>
      </c>
      <c r="C10" s="2">
        <v>849</v>
      </c>
      <c r="D10" s="2">
        <v>2</v>
      </c>
      <c r="E10" s="10">
        <v>51.4</v>
      </c>
      <c r="F10" s="4">
        <v>20.91</v>
      </c>
      <c r="G10" s="4">
        <v>1.01</v>
      </c>
      <c r="H10" s="4">
        <v>4.38</v>
      </c>
      <c r="I10" s="4">
        <v>1.61</v>
      </c>
      <c r="J10" s="4">
        <v>15.04</v>
      </c>
      <c r="K10" s="4">
        <f t="shared" si="0"/>
        <v>0.60000000000000009</v>
      </c>
      <c r="L10" s="4">
        <f t="shared" si="1"/>
        <v>3.9893617021276606</v>
      </c>
    </row>
    <row r="11" spans="1:12" x14ac:dyDescent="0.25">
      <c r="A11" s="3">
        <v>40548</v>
      </c>
      <c r="B11" s="5" t="s">
        <v>112</v>
      </c>
      <c r="C11" s="2">
        <v>850</v>
      </c>
      <c r="D11" s="2">
        <v>2</v>
      </c>
      <c r="E11" s="10">
        <v>54.6</v>
      </c>
      <c r="F11" s="4">
        <v>22.94</v>
      </c>
      <c r="G11" s="4">
        <v>1</v>
      </c>
      <c r="H11" s="4">
        <v>6.36</v>
      </c>
      <c r="I11" s="4">
        <v>1.48</v>
      </c>
      <c r="J11" s="4">
        <v>14.98</v>
      </c>
      <c r="K11" s="4">
        <f t="shared" si="0"/>
        <v>0.48</v>
      </c>
      <c r="L11" s="4">
        <f t="shared" si="1"/>
        <v>3.2042723631508672</v>
      </c>
    </row>
    <row r="12" spans="1:12" x14ac:dyDescent="0.25">
      <c r="A12" s="3">
        <v>40548</v>
      </c>
      <c r="B12" s="5" t="s">
        <v>112</v>
      </c>
      <c r="C12" s="2">
        <v>851</v>
      </c>
      <c r="D12" s="2">
        <v>3</v>
      </c>
      <c r="E12" s="10">
        <v>72.2</v>
      </c>
      <c r="F12" s="4">
        <v>45.8</v>
      </c>
      <c r="G12" s="4">
        <v>1</v>
      </c>
      <c r="H12" s="4">
        <v>9.94</v>
      </c>
      <c r="I12" s="4">
        <v>1.85</v>
      </c>
      <c r="J12" s="4">
        <v>29.96</v>
      </c>
      <c r="K12" s="4">
        <f t="shared" si="0"/>
        <v>0.85000000000000009</v>
      </c>
      <c r="L12" s="4">
        <f t="shared" si="1"/>
        <v>2.8371161548731645</v>
      </c>
    </row>
    <row r="13" spans="1:12" x14ac:dyDescent="0.25">
      <c r="A13" s="3">
        <v>40548</v>
      </c>
      <c r="B13" s="5" t="s">
        <v>112</v>
      </c>
      <c r="C13" s="2">
        <v>852</v>
      </c>
      <c r="D13" s="2">
        <v>3</v>
      </c>
      <c r="E13" s="10">
        <v>70</v>
      </c>
      <c r="F13" s="4">
        <v>23.31</v>
      </c>
      <c r="G13" s="4">
        <v>0.99</v>
      </c>
      <c r="H13" s="4">
        <v>7.54</v>
      </c>
      <c r="I13" s="4">
        <v>1.52</v>
      </c>
      <c r="J13" s="4">
        <v>14.12</v>
      </c>
      <c r="K13" s="4">
        <f t="shared" si="0"/>
        <v>0.53</v>
      </c>
      <c r="L13" s="4">
        <f t="shared" si="1"/>
        <v>3.7535410764872523</v>
      </c>
    </row>
    <row r="14" spans="1:12" x14ac:dyDescent="0.25">
      <c r="A14" s="3">
        <v>40548</v>
      </c>
      <c r="B14" s="5" t="s">
        <v>112</v>
      </c>
      <c r="C14" s="2">
        <v>853</v>
      </c>
      <c r="D14" s="2">
        <v>3</v>
      </c>
      <c r="E14" s="10">
        <v>56.3</v>
      </c>
      <c r="F14" s="4">
        <v>33.659999999999997</v>
      </c>
      <c r="G14" s="4">
        <v>1.02</v>
      </c>
      <c r="H14" s="4">
        <v>8.1</v>
      </c>
      <c r="I14" s="4">
        <v>1.63</v>
      </c>
      <c r="J14" s="4">
        <v>21.83</v>
      </c>
      <c r="K14" s="4">
        <f t="shared" si="0"/>
        <v>0.60999999999999988</v>
      </c>
      <c r="L14" s="4">
        <f t="shared" si="1"/>
        <v>2.7943197434722853</v>
      </c>
    </row>
    <row r="15" spans="1:12" x14ac:dyDescent="0.25">
      <c r="A15" s="3">
        <v>40548</v>
      </c>
      <c r="B15" s="5" t="s">
        <v>112</v>
      </c>
      <c r="C15" s="2">
        <v>854</v>
      </c>
      <c r="D15" s="2">
        <v>3</v>
      </c>
      <c r="E15" s="10">
        <v>69.2</v>
      </c>
      <c r="F15" s="4">
        <v>58.56</v>
      </c>
      <c r="G15" s="4">
        <v>1.04</v>
      </c>
      <c r="H15" s="4">
        <v>9.9600000000000009</v>
      </c>
      <c r="I15" s="4">
        <v>1.57</v>
      </c>
      <c r="J15" s="4">
        <v>39.229999999999997</v>
      </c>
      <c r="K15" s="4">
        <f t="shared" si="0"/>
        <v>0.53</v>
      </c>
      <c r="L15" s="4">
        <f t="shared" si="1"/>
        <v>1.351006882487892</v>
      </c>
    </row>
    <row r="16" spans="1:12" x14ac:dyDescent="0.25">
      <c r="A16" s="3">
        <v>40548</v>
      </c>
      <c r="B16" s="5" t="s">
        <v>112</v>
      </c>
      <c r="C16" s="2">
        <v>855</v>
      </c>
      <c r="D16" s="2">
        <v>3</v>
      </c>
      <c r="E16" s="10">
        <v>55.5</v>
      </c>
      <c r="F16" s="4">
        <v>26.19</v>
      </c>
      <c r="G16" s="4">
        <v>1.02</v>
      </c>
      <c r="H16" s="4">
        <v>7.39</v>
      </c>
      <c r="I16" s="4">
        <v>1.53</v>
      </c>
      <c r="J16" s="4">
        <v>17.75</v>
      </c>
      <c r="K16" s="4">
        <f t="shared" si="0"/>
        <v>0.51</v>
      </c>
      <c r="L16" s="4">
        <f t="shared" si="1"/>
        <v>2.8732394366197185</v>
      </c>
    </row>
    <row r="17" spans="1:12" x14ac:dyDescent="0.25">
      <c r="A17" s="3">
        <v>40576</v>
      </c>
      <c r="B17" s="2" t="s">
        <v>112</v>
      </c>
      <c r="C17" s="2">
        <v>856</v>
      </c>
      <c r="D17" s="2">
        <v>1</v>
      </c>
      <c r="E17" s="10">
        <v>77.8</v>
      </c>
      <c r="F17" s="4">
        <v>51.64</v>
      </c>
      <c r="G17" s="4">
        <v>1.02</v>
      </c>
      <c r="H17" s="4">
        <v>10.1</v>
      </c>
      <c r="I17" s="4">
        <v>2.15</v>
      </c>
      <c r="J17" s="4">
        <v>33.49</v>
      </c>
      <c r="K17" s="4">
        <f t="shared" si="0"/>
        <v>1.1299999999999999</v>
      </c>
      <c r="L17" s="4">
        <f t="shared" si="1"/>
        <v>3.3741415347865034</v>
      </c>
    </row>
    <row r="18" spans="1:12" x14ac:dyDescent="0.25">
      <c r="A18" s="3">
        <v>40576</v>
      </c>
      <c r="B18" s="2" t="s">
        <v>112</v>
      </c>
      <c r="C18" s="2">
        <v>857</v>
      </c>
      <c r="D18" s="2">
        <v>1</v>
      </c>
      <c r="E18" s="10">
        <v>65.2</v>
      </c>
      <c r="F18" s="4">
        <v>23.34</v>
      </c>
      <c r="G18" s="4">
        <v>1.02</v>
      </c>
      <c r="H18" s="4">
        <v>6.21</v>
      </c>
      <c r="I18" s="4">
        <v>1.46</v>
      </c>
      <c r="J18" s="4">
        <v>13.85</v>
      </c>
      <c r="K18" s="4">
        <f t="shared" si="0"/>
        <v>0.43999999999999995</v>
      </c>
      <c r="L18" s="4">
        <f t="shared" si="1"/>
        <v>3.1768953068592056</v>
      </c>
    </row>
    <row r="19" spans="1:12" x14ac:dyDescent="0.25">
      <c r="A19" s="3">
        <v>40576</v>
      </c>
      <c r="B19" s="2" t="s">
        <v>112</v>
      </c>
      <c r="C19" s="2">
        <v>858</v>
      </c>
      <c r="D19" s="2">
        <v>1</v>
      </c>
      <c r="E19" s="10">
        <v>80.2</v>
      </c>
      <c r="F19" s="4">
        <v>54.91</v>
      </c>
      <c r="G19" s="4">
        <v>1.02</v>
      </c>
      <c r="H19" s="4">
        <v>12.7</v>
      </c>
      <c r="I19" s="4">
        <v>1.98</v>
      </c>
      <c r="J19" s="4">
        <v>31</v>
      </c>
      <c r="K19" s="4">
        <f t="shared" si="0"/>
        <v>0.96</v>
      </c>
      <c r="L19" s="4">
        <f t="shared" si="1"/>
        <v>3.096774193548387</v>
      </c>
    </row>
    <row r="20" spans="1:12" x14ac:dyDescent="0.25">
      <c r="A20" s="3">
        <v>40576</v>
      </c>
      <c r="B20" s="2" t="s">
        <v>112</v>
      </c>
      <c r="C20" s="2">
        <v>859</v>
      </c>
      <c r="D20" s="2">
        <v>1</v>
      </c>
      <c r="E20" s="10">
        <v>71.400000000000006</v>
      </c>
      <c r="F20" s="4">
        <v>26.44</v>
      </c>
      <c r="G20" s="4">
        <v>1.01</v>
      </c>
      <c r="H20" s="4">
        <v>6.25</v>
      </c>
      <c r="I20" s="4">
        <v>1.47</v>
      </c>
      <c r="J20" s="4">
        <v>16.88</v>
      </c>
      <c r="K20" s="4">
        <f t="shared" si="0"/>
        <v>0.45999999999999996</v>
      </c>
      <c r="L20" s="4">
        <f t="shared" si="1"/>
        <v>2.7251184834123223</v>
      </c>
    </row>
    <row r="21" spans="1:12" x14ac:dyDescent="0.25">
      <c r="A21" s="3">
        <v>40576</v>
      </c>
      <c r="B21" s="2" t="s">
        <v>112</v>
      </c>
      <c r="C21" s="2">
        <v>860</v>
      </c>
      <c r="D21" s="2">
        <v>1</v>
      </c>
      <c r="E21" s="10">
        <v>69.7</v>
      </c>
      <c r="F21" s="4">
        <v>24.26</v>
      </c>
      <c r="G21" s="4">
        <v>1</v>
      </c>
      <c r="H21" s="4">
        <v>6.87</v>
      </c>
      <c r="I21" s="4">
        <v>1.51</v>
      </c>
      <c r="J21" s="4">
        <v>14.71</v>
      </c>
      <c r="K21" s="4">
        <f t="shared" si="0"/>
        <v>0.51</v>
      </c>
      <c r="L21" s="4">
        <f t="shared" si="1"/>
        <v>3.4670292318150913</v>
      </c>
    </row>
    <row r="22" spans="1:12" x14ac:dyDescent="0.25">
      <c r="A22" s="3">
        <v>40576</v>
      </c>
      <c r="B22" s="2" t="s">
        <v>112</v>
      </c>
      <c r="C22" s="2">
        <v>861</v>
      </c>
      <c r="D22" s="2">
        <v>2</v>
      </c>
      <c r="E22" s="10">
        <v>61.2</v>
      </c>
      <c r="F22" s="4">
        <v>31.76</v>
      </c>
      <c r="G22" s="4">
        <v>1.02</v>
      </c>
      <c r="H22" s="4">
        <v>5.18</v>
      </c>
      <c r="I22" s="4">
        <v>1.75</v>
      </c>
      <c r="J22" s="4">
        <v>21.79</v>
      </c>
      <c r="K22" s="4">
        <f t="shared" si="0"/>
        <v>0.73</v>
      </c>
      <c r="L22" s="4">
        <f t="shared" si="1"/>
        <v>3.3501606241395137</v>
      </c>
    </row>
    <row r="23" spans="1:12" x14ac:dyDescent="0.25">
      <c r="A23" s="3">
        <v>40576</v>
      </c>
      <c r="B23" s="2" t="s">
        <v>112</v>
      </c>
      <c r="C23" s="2">
        <v>862</v>
      </c>
      <c r="D23" s="2">
        <v>2</v>
      </c>
      <c r="E23" s="10">
        <v>53</v>
      </c>
      <c r="F23" s="4">
        <v>36.630000000000003</v>
      </c>
      <c r="G23" s="4">
        <v>1.06</v>
      </c>
      <c r="H23" s="4">
        <v>8.74</v>
      </c>
      <c r="I23" s="4">
        <v>1.77</v>
      </c>
      <c r="J23" s="4">
        <v>23.39</v>
      </c>
      <c r="K23" s="4">
        <f t="shared" si="0"/>
        <v>0.71</v>
      </c>
      <c r="L23" s="4">
        <f t="shared" si="1"/>
        <v>3.0354852501068832</v>
      </c>
    </row>
    <row r="24" spans="1:12" x14ac:dyDescent="0.25">
      <c r="A24" s="3">
        <v>40576</v>
      </c>
      <c r="B24" s="2" t="s">
        <v>112</v>
      </c>
      <c r="C24" s="2">
        <v>863</v>
      </c>
      <c r="D24" s="2">
        <v>2</v>
      </c>
      <c r="E24" s="10">
        <v>64.5</v>
      </c>
      <c r="F24" s="4">
        <v>43.94</v>
      </c>
      <c r="G24" s="4">
        <v>1.02</v>
      </c>
      <c r="H24" s="4">
        <v>10.029999999999999</v>
      </c>
      <c r="I24" s="4">
        <v>2.02</v>
      </c>
      <c r="J24" s="4">
        <v>28.88</v>
      </c>
      <c r="K24" s="4">
        <f t="shared" si="0"/>
        <v>1</v>
      </c>
      <c r="L24" s="4">
        <f t="shared" si="1"/>
        <v>3.4626038781163437</v>
      </c>
    </row>
    <row r="25" spans="1:12" x14ac:dyDescent="0.25">
      <c r="A25" s="3">
        <v>40576</v>
      </c>
      <c r="B25" s="2" t="s">
        <v>112</v>
      </c>
      <c r="C25" s="2">
        <v>864</v>
      </c>
      <c r="D25" s="2">
        <v>2</v>
      </c>
      <c r="E25" s="10">
        <v>57.9</v>
      </c>
      <c r="F25" s="4">
        <v>33.49</v>
      </c>
      <c r="G25" s="4">
        <v>1</v>
      </c>
      <c r="H25" s="4">
        <v>5.28</v>
      </c>
      <c r="I25" s="4">
        <v>1.56</v>
      </c>
      <c r="J25" s="4">
        <v>25.9</v>
      </c>
      <c r="K25" s="4">
        <f t="shared" si="0"/>
        <v>0.56000000000000005</v>
      </c>
      <c r="L25" s="4">
        <f t="shared" si="1"/>
        <v>2.1621621621621627</v>
      </c>
    </row>
    <row r="26" spans="1:12" x14ac:dyDescent="0.25">
      <c r="A26" s="3">
        <v>40576</v>
      </c>
      <c r="B26" s="2" t="s">
        <v>112</v>
      </c>
      <c r="C26" s="2">
        <v>865</v>
      </c>
      <c r="D26" s="2">
        <v>2</v>
      </c>
      <c r="E26" s="10">
        <v>72.5</v>
      </c>
      <c r="F26" s="4">
        <v>58.57</v>
      </c>
      <c r="G26" s="4">
        <v>0.99</v>
      </c>
      <c r="H26" s="4">
        <v>11.32</v>
      </c>
      <c r="I26" s="4">
        <v>1.91</v>
      </c>
      <c r="J26" s="4">
        <v>36.19</v>
      </c>
      <c r="K26" s="4">
        <f t="shared" si="0"/>
        <v>0.91999999999999993</v>
      </c>
      <c r="L26" s="4">
        <f t="shared" si="1"/>
        <v>2.5421387123514783</v>
      </c>
    </row>
    <row r="27" spans="1:12" x14ac:dyDescent="0.25">
      <c r="A27" s="3">
        <v>40576</v>
      </c>
      <c r="B27" s="2" t="s">
        <v>112</v>
      </c>
      <c r="C27" s="2">
        <v>866</v>
      </c>
      <c r="D27" s="2">
        <v>3</v>
      </c>
      <c r="E27" s="10">
        <v>66.2</v>
      </c>
      <c r="F27" s="4">
        <v>31.09</v>
      </c>
      <c r="G27" s="4">
        <v>1</v>
      </c>
      <c r="H27" s="4">
        <v>4.67</v>
      </c>
      <c r="I27" s="4">
        <v>1.4</v>
      </c>
      <c r="J27" s="4">
        <v>22.19</v>
      </c>
      <c r="K27" s="4">
        <f t="shared" si="0"/>
        <v>0.39999999999999991</v>
      </c>
      <c r="L27" s="4">
        <f t="shared" si="1"/>
        <v>1.802613789995493</v>
      </c>
    </row>
    <row r="28" spans="1:12" x14ac:dyDescent="0.25">
      <c r="A28" s="3">
        <v>40576</v>
      </c>
      <c r="B28" s="2" t="s">
        <v>112</v>
      </c>
      <c r="C28" s="2">
        <v>867</v>
      </c>
      <c r="D28" s="2">
        <v>3</v>
      </c>
      <c r="E28" s="10">
        <v>57</v>
      </c>
      <c r="F28" s="4">
        <v>15.82</v>
      </c>
      <c r="G28" s="4">
        <v>1.02</v>
      </c>
      <c r="H28" s="4">
        <v>3.37</v>
      </c>
      <c r="I28" s="4">
        <v>1.24</v>
      </c>
      <c r="J28" s="4">
        <v>11.61</v>
      </c>
      <c r="K28" s="4">
        <f t="shared" si="0"/>
        <v>0.21999999999999997</v>
      </c>
      <c r="L28" s="4">
        <f t="shared" si="1"/>
        <v>1.8949181739879413</v>
      </c>
    </row>
    <row r="29" spans="1:12" x14ac:dyDescent="0.25">
      <c r="A29" s="3">
        <v>40576</v>
      </c>
      <c r="B29" s="2" t="s">
        <v>112</v>
      </c>
      <c r="C29" s="2">
        <v>868</v>
      </c>
      <c r="D29" s="2">
        <v>3</v>
      </c>
      <c r="E29" s="10">
        <v>60.1</v>
      </c>
      <c r="F29" s="4">
        <v>22.36</v>
      </c>
      <c r="G29" s="4">
        <v>1.01</v>
      </c>
      <c r="H29" s="4">
        <v>3.96</v>
      </c>
      <c r="I29" s="4">
        <v>1.32</v>
      </c>
      <c r="J29" s="4">
        <v>14.9</v>
      </c>
      <c r="K29" s="4">
        <f t="shared" si="0"/>
        <v>0.31000000000000005</v>
      </c>
      <c r="L29" s="4">
        <f t="shared" si="1"/>
        <v>2.0805369127516782</v>
      </c>
    </row>
    <row r="30" spans="1:12" x14ac:dyDescent="0.25">
      <c r="A30" s="3">
        <v>40576</v>
      </c>
      <c r="B30" s="2" t="s">
        <v>112</v>
      </c>
      <c r="C30" s="2">
        <v>869</v>
      </c>
      <c r="D30" s="2">
        <v>3</v>
      </c>
      <c r="E30" s="10">
        <v>59</v>
      </c>
      <c r="F30" s="4">
        <v>29.36</v>
      </c>
      <c r="G30" s="4">
        <v>1</v>
      </c>
      <c r="H30" s="4">
        <v>4.34</v>
      </c>
      <c r="I30" s="4">
        <v>1.41</v>
      </c>
      <c r="J30" s="4">
        <v>21.85</v>
      </c>
      <c r="K30" s="4">
        <f t="shared" si="0"/>
        <v>0.40999999999999992</v>
      </c>
      <c r="L30" s="4">
        <f t="shared" si="1"/>
        <v>1.8764302059496565</v>
      </c>
    </row>
    <row r="31" spans="1:12" x14ac:dyDescent="0.25">
      <c r="A31" s="3">
        <v>40576</v>
      </c>
      <c r="B31" s="2" t="s">
        <v>112</v>
      </c>
      <c r="C31" s="2">
        <v>870</v>
      </c>
      <c r="D31" s="2">
        <v>3</v>
      </c>
      <c r="E31" s="10">
        <v>60.7</v>
      </c>
      <c r="F31" s="4">
        <v>22.27</v>
      </c>
      <c r="G31" s="4">
        <v>1.02</v>
      </c>
      <c r="H31" s="4">
        <v>5.73</v>
      </c>
      <c r="I31" s="4">
        <v>1.43</v>
      </c>
      <c r="J31" s="4">
        <v>15.21</v>
      </c>
      <c r="K31" s="4">
        <f t="shared" si="0"/>
        <v>0.40999999999999992</v>
      </c>
      <c r="L31" s="4">
        <f t="shared" si="1"/>
        <v>2.6955950032873104</v>
      </c>
    </row>
    <row r="32" spans="1:12" x14ac:dyDescent="0.25">
      <c r="A32" s="3">
        <v>40604</v>
      </c>
      <c r="B32" s="2" t="s">
        <v>112</v>
      </c>
      <c r="C32" s="2">
        <v>871</v>
      </c>
      <c r="D32" s="2">
        <v>1</v>
      </c>
      <c r="E32" s="10">
        <v>64.900000000000006</v>
      </c>
      <c r="F32" s="4">
        <v>22.15</v>
      </c>
      <c r="G32" s="4">
        <v>1.01</v>
      </c>
      <c r="H32" s="4">
        <v>3.68</v>
      </c>
      <c r="I32" s="4">
        <v>1.32</v>
      </c>
      <c r="J32" s="4">
        <v>14.72</v>
      </c>
      <c r="K32" s="4">
        <f>I32-G32</f>
        <v>0.31000000000000005</v>
      </c>
      <c r="L32" s="4">
        <f>(K32/J32)*100</f>
        <v>2.1059782608695654</v>
      </c>
    </row>
    <row r="33" spans="1:12" x14ac:dyDescent="0.25">
      <c r="A33" s="3">
        <v>40604</v>
      </c>
      <c r="B33" s="2" t="s">
        <v>112</v>
      </c>
      <c r="C33" s="2">
        <f>C32+1</f>
        <v>872</v>
      </c>
      <c r="D33" s="2">
        <v>1</v>
      </c>
      <c r="E33" s="10">
        <v>77.5</v>
      </c>
      <c r="F33" s="4">
        <v>58.47</v>
      </c>
      <c r="G33" s="4">
        <v>0.99</v>
      </c>
      <c r="H33" s="4">
        <v>9.1300000000000008</v>
      </c>
      <c r="I33" s="4">
        <v>2.38</v>
      </c>
      <c r="J33" s="4">
        <v>39.619999999999997</v>
      </c>
      <c r="K33" s="4">
        <f t="shared" si="0"/>
        <v>1.39</v>
      </c>
      <c r="L33" s="4">
        <f t="shared" si="1"/>
        <v>3.5083291267036847</v>
      </c>
    </row>
    <row r="34" spans="1:12" x14ac:dyDescent="0.25">
      <c r="A34" s="3">
        <v>40604</v>
      </c>
      <c r="B34" s="2" t="s">
        <v>112</v>
      </c>
      <c r="C34" s="2">
        <f t="shared" ref="C34:C46" si="2">C33+1</f>
        <v>873</v>
      </c>
      <c r="D34" s="2">
        <v>1</v>
      </c>
      <c r="E34" s="10">
        <v>61.5</v>
      </c>
      <c r="F34" s="4">
        <v>26.95</v>
      </c>
      <c r="G34" s="4">
        <v>1.02</v>
      </c>
      <c r="H34" s="4">
        <v>4.0199999999999996</v>
      </c>
      <c r="I34" s="4">
        <v>1.43</v>
      </c>
      <c r="J34" s="4">
        <v>16.8</v>
      </c>
      <c r="K34" s="4">
        <f t="shared" si="0"/>
        <v>0.40999999999999992</v>
      </c>
      <c r="L34" s="4">
        <f t="shared" si="1"/>
        <v>2.4404761904761898</v>
      </c>
    </row>
    <row r="35" spans="1:12" x14ac:dyDescent="0.25">
      <c r="A35" s="3">
        <v>40604</v>
      </c>
      <c r="B35" s="2" t="s">
        <v>112</v>
      </c>
      <c r="C35" s="2">
        <f t="shared" si="2"/>
        <v>874</v>
      </c>
      <c r="D35" s="2">
        <v>1</v>
      </c>
      <c r="E35" s="10">
        <v>62.4</v>
      </c>
      <c r="F35" s="4">
        <v>25.47</v>
      </c>
      <c r="G35" s="4">
        <v>1</v>
      </c>
      <c r="H35" s="4">
        <v>4.21</v>
      </c>
      <c r="I35" s="4">
        <v>1.39</v>
      </c>
      <c r="J35" s="4">
        <v>16.18</v>
      </c>
      <c r="K35" s="4">
        <f t="shared" si="0"/>
        <v>0.3899999999999999</v>
      </c>
      <c r="L35" s="4">
        <f t="shared" si="1"/>
        <v>2.4103831891223724</v>
      </c>
    </row>
    <row r="36" spans="1:12" x14ac:dyDescent="0.25">
      <c r="A36" s="3">
        <v>40604</v>
      </c>
      <c r="B36" s="2" t="s">
        <v>112</v>
      </c>
      <c r="C36" s="2">
        <f t="shared" si="2"/>
        <v>875</v>
      </c>
      <c r="D36" s="2">
        <v>1</v>
      </c>
      <c r="E36" s="10">
        <v>55.5</v>
      </c>
      <c r="F36" s="4">
        <v>27.47</v>
      </c>
      <c r="G36" s="4">
        <v>0.99</v>
      </c>
      <c r="H36" s="4">
        <v>4.45</v>
      </c>
      <c r="I36" s="4">
        <v>1.46</v>
      </c>
      <c r="J36" s="4">
        <v>17.190000000000001</v>
      </c>
      <c r="K36" s="4">
        <f t="shared" si="0"/>
        <v>0.47</v>
      </c>
      <c r="L36" s="4">
        <f t="shared" si="1"/>
        <v>2.7341477603257704</v>
      </c>
    </row>
    <row r="37" spans="1:12" x14ac:dyDescent="0.25">
      <c r="A37" s="3">
        <v>40604</v>
      </c>
      <c r="B37" s="2" t="s">
        <v>112</v>
      </c>
      <c r="C37" s="2">
        <f t="shared" si="2"/>
        <v>876</v>
      </c>
      <c r="D37" s="2">
        <v>2</v>
      </c>
      <c r="E37" s="10">
        <v>61.4</v>
      </c>
      <c r="F37" s="4">
        <v>65.150000000000006</v>
      </c>
      <c r="G37" s="4">
        <v>0.99</v>
      </c>
      <c r="H37" s="4">
        <v>8.8000000000000007</v>
      </c>
      <c r="I37" s="4">
        <v>1.95</v>
      </c>
      <c r="J37" s="4">
        <v>44.36</v>
      </c>
      <c r="K37" s="4">
        <f t="shared" si="0"/>
        <v>0.96</v>
      </c>
      <c r="L37" s="4">
        <f t="shared" si="1"/>
        <v>2.1641118124436427</v>
      </c>
    </row>
    <row r="38" spans="1:12" x14ac:dyDescent="0.25">
      <c r="A38" s="3">
        <v>40604</v>
      </c>
      <c r="B38" s="2" t="s">
        <v>112</v>
      </c>
      <c r="C38" s="2">
        <f t="shared" si="2"/>
        <v>877</v>
      </c>
      <c r="D38" s="2">
        <v>2</v>
      </c>
      <c r="E38" s="10">
        <v>85.6</v>
      </c>
      <c r="F38" s="4">
        <v>71.930000000000007</v>
      </c>
      <c r="G38" s="4">
        <v>1</v>
      </c>
      <c r="H38" s="4">
        <v>9.52</v>
      </c>
      <c r="I38" s="4">
        <v>2.12</v>
      </c>
      <c r="J38" s="4">
        <v>46.14</v>
      </c>
      <c r="K38" s="4">
        <f t="shared" si="0"/>
        <v>1.1200000000000001</v>
      </c>
      <c r="L38" s="4">
        <f t="shared" si="1"/>
        <v>2.4273948851322067</v>
      </c>
    </row>
    <row r="39" spans="1:12" x14ac:dyDescent="0.25">
      <c r="A39" s="3">
        <v>40604</v>
      </c>
      <c r="B39" s="2" t="s">
        <v>112</v>
      </c>
      <c r="C39" s="2">
        <f t="shared" si="2"/>
        <v>878</v>
      </c>
      <c r="D39" s="2">
        <v>2</v>
      </c>
      <c r="E39" s="10">
        <v>43.6</v>
      </c>
      <c r="F39" s="4">
        <v>19.09</v>
      </c>
      <c r="G39" s="4">
        <v>1</v>
      </c>
      <c r="H39" s="4">
        <v>4.0199999999999996</v>
      </c>
      <c r="I39" s="4">
        <v>1.34</v>
      </c>
      <c r="J39" s="4">
        <v>12.45</v>
      </c>
      <c r="K39" s="4">
        <f t="shared" si="0"/>
        <v>0.34000000000000008</v>
      </c>
      <c r="L39" s="4">
        <f t="shared" si="1"/>
        <v>2.7309236947791171</v>
      </c>
    </row>
    <row r="40" spans="1:12" x14ac:dyDescent="0.25">
      <c r="A40" s="3">
        <v>40604</v>
      </c>
      <c r="B40" s="2" t="s">
        <v>112</v>
      </c>
      <c r="C40" s="2">
        <f t="shared" si="2"/>
        <v>879</v>
      </c>
      <c r="D40" s="2">
        <v>2</v>
      </c>
      <c r="E40" s="10">
        <v>69.900000000000006</v>
      </c>
      <c r="F40" s="4">
        <v>80.56</v>
      </c>
      <c r="G40" s="4">
        <v>0.98</v>
      </c>
      <c r="H40" s="4">
        <v>10.47</v>
      </c>
      <c r="I40" s="4">
        <v>2.61</v>
      </c>
      <c r="J40" s="4">
        <v>58.98</v>
      </c>
      <c r="K40" s="4">
        <f t="shared" si="0"/>
        <v>1.63</v>
      </c>
      <c r="L40" s="4">
        <f t="shared" si="1"/>
        <v>2.7636486944727023</v>
      </c>
    </row>
    <row r="41" spans="1:12" x14ac:dyDescent="0.25">
      <c r="A41" s="3">
        <v>40604</v>
      </c>
      <c r="B41" s="2" t="s">
        <v>112</v>
      </c>
      <c r="C41" s="2">
        <f t="shared" si="2"/>
        <v>880</v>
      </c>
      <c r="D41" s="2">
        <v>2</v>
      </c>
      <c r="E41" s="10">
        <v>69.099999999999994</v>
      </c>
      <c r="F41" s="4">
        <v>42.61</v>
      </c>
      <c r="G41" s="4">
        <v>1</v>
      </c>
      <c r="H41" s="4">
        <v>7.3</v>
      </c>
      <c r="I41" s="4">
        <v>1.82</v>
      </c>
      <c r="J41" s="4">
        <v>28.38</v>
      </c>
      <c r="K41" s="4">
        <f t="shared" si="0"/>
        <v>0.82000000000000006</v>
      </c>
      <c r="L41" s="4">
        <f t="shared" si="1"/>
        <v>2.8893587033121921</v>
      </c>
    </row>
    <row r="42" spans="1:12" x14ac:dyDescent="0.25">
      <c r="A42" s="3">
        <v>40604</v>
      </c>
      <c r="B42" s="2" t="s">
        <v>112</v>
      </c>
      <c r="C42" s="2">
        <f t="shared" si="2"/>
        <v>881</v>
      </c>
      <c r="D42" s="2">
        <v>3</v>
      </c>
      <c r="E42" s="10">
        <v>89.1</v>
      </c>
      <c r="F42" s="4">
        <v>89.87</v>
      </c>
      <c r="G42" s="4">
        <v>1</v>
      </c>
      <c r="H42" s="4">
        <v>12.72</v>
      </c>
      <c r="I42" s="4">
        <v>2.71</v>
      </c>
      <c r="J42" s="4">
        <v>62.44</v>
      </c>
      <c r="K42" s="4">
        <f t="shared" si="0"/>
        <v>1.71</v>
      </c>
      <c r="L42" s="4">
        <f t="shared" si="1"/>
        <v>2.7386290839205638</v>
      </c>
    </row>
    <row r="43" spans="1:12" x14ac:dyDescent="0.25">
      <c r="A43" s="3">
        <v>40604</v>
      </c>
      <c r="B43" s="2" t="s">
        <v>112</v>
      </c>
      <c r="C43" s="2">
        <f t="shared" si="2"/>
        <v>882</v>
      </c>
      <c r="D43" s="2">
        <v>3</v>
      </c>
      <c r="E43" s="10">
        <v>74.099999999999994</v>
      </c>
      <c r="F43" s="4">
        <v>35.39</v>
      </c>
      <c r="G43" s="4">
        <v>0.99</v>
      </c>
      <c r="H43" s="4">
        <v>6.76</v>
      </c>
      <c r="I43" s="4">
        <v>2</v>
      </c>
      <c r="J43" s="4">
        <v>24.25</v>
      </c>
      <c r="K43" s="4">
        <f t="shared" si="0"/>
        <v>1.01</v>
      </c>
      <c r="L43" s="4">
        <f t="shared" si="1"/>
        <v>4.1649484536082477</v>
      </c>
    </row>
    <row r="44" spans="1:12" x14ac:dyDescent="0.25">
      <c r="A44" s="3">
        <v>40604</v>
      </c>
      <c r="B44" s="2" t="s">
        <v>112</v>
      </c>
      <c r="C44" s="2">
        <f t="shared" si="2"/>
        <v>883</v>
      </c>
      <c r="D44" s="2">
        <v>3</v>
      </c>
      <c r="E44" s="10">
        <v>75.099999999999994</v>
      </c>
      <c r="F44" s="4">
        <v>56.49</v>
      </c>
      <c r="G44" s="4">
        <v>1.04</v>
      </c>
      <c r="H44" s="4">
        <v>8.1</v>
      </c>
      <c r="I44" s="4">
        <v>1.6</v>
      </c>
      <c r="J44" s="4">
        <v>34.950000000000003</v>
      </c>
      <c r="K44" s="4">
        <f t="shared" si="0"/>
        <v>0.56000000000000005</v>
      </c>
      <c r="L44" s="4">
        <f t="shared" si="1"/>
        <v>1.6022889842632331</v>
      </c>
    </row>
    <row r="45" spans="1:12" x14ac:dyDescent="0.25">
      <c r="A45" s="3">
        <v>40604</v>
      </c>
      <c r="B45" s="2" t="s">
        <v>112</v>
      </c>
      <c r="C45" s="2">
        <f t="shared" si="2"/>
        <v>884</v>
      </c>
      <c r="D45" s="2">
        <v>3</v>
      </c>
      <c r="E45" s="10">
        <v>62.8</v>
      </c>
      <c r="F45" s="4">
        <v>40.57</v>
      </c>
      <c r="G45" s="4">
        <v>1.03</v>
      </c>
      <c r="H45" s="4">
        <v>6.45</v>
      </c>
      <c r="I45" s="4">
        <v>1.76</v>
      </c>
      <c r="J45" s="4">
        <v>28.64</v>
      </c>
      <c r="K45" s="4">
        <f t="shared" si="0"/>
        <v>0.73</v>
      </c>
      <c r="L45" s="4">
        <f t="shared" si="1"/>
        <v>2.5488826815642454</v>
      </c>
    </row>
    <row r="46" spans="1:12" x14ac:dyDescent="0.25">
      <c r="A46" s="3">
        <v>40604</v>
      </c>
      <c r="B46" s="2" t="s">
        <v>112</v>
      </c>
      <c r="C46" s="2">
        <f t="shared" si="2"/>
        <v>885</v>
      </c>
      <c r="D46" s="2">
        <v>3</v>
      </c>
      <c r="E46" s="10">
        <v>53.3</v>
      </c>
      <c r="F46" s="4">
        <v>25.4</v>
      </c>
      <c r="G46" s="4">
        <v>1.05</v>
      </c>
      <c r="H46" s="4">
        <v>4.3899999999999997</v>
      </c>
      <c r="I46" s="4">
        <v>1.52</v>
      </c>
      <c r="J46" s="4">
        <v>17.53</v>
      </c>
      <c r="K46" s="4">
        <f t="shared" si="0"/>
        <v>0.47</v>
      </c>
      <c r="L46" s="4">
        <f t="shared" si="1"/>
        <v>2.6811180832857953</v>
      </c>
    </row>
    <row r="47" spans="1:12" x14ac:dyDescent="0.25">
      <c r="A47" s="3">
        <v>40639</v>
      </c>
      <c r="B47" s="2" t="s">
        <v>112</v>
      </c>
      <c r="C47" s="2">
        <v>886</v>
      </c>
      <c r="D47" s="2">
        <v>1</v>
      </c>
      <c r="E47" s="10">
        <v>54.2</v>
      </c>
      <c r="F47" s="4">
        <v>20.38</v>
      </c>
      <c r="G47" s="4">
        <v>0.99</v>
      </c>
      <c r="H47" s="4">
        <v>3.84</v>
      </c>
      <c r="I47" s="4">
        <v>1.23</v>
      </c>
      <c r="J47" s="4">
        <v>12.68</v>
      </c>
      <c r="K47" s="4">
        <f t="shared" si="0"/>
        <v>0.24</v>
      </c>
      <c r="L47" s="4">
        <f t="shared" si="1"/>
        <v>1.8927444794952681</v>
      </c>
    </row>
    <row r="48" spans="1:12" x14ac:dyDescent="0.25">
      <c r="A48" s="3">
        <v>40639</v>
      </c>
      <c r="B48" s="2" t="s">
        <v>112</v>
      </c>
      <c r="C48" s="2">
        <v>887</v>
      </c>
      <c r="D48" s="2">
        <v>1</v>
      </c>
      <c r="E48" s="10">
        <v>77.5</v>
      </c>
      <c r="F48" s="4">
        <v>59.8</v>
      </c>
      <c r="G48" s="4">
        <v>1.03</v>
      </c>
      <c r="H48" s="4">
        <v>9.2799999999999994</v>
      </c>
      <c r="I48" s="4">
        <v>1.64</v>
      </c>
      <c r="J48" s="4">
        <v>38.380000000000003</v>
      </c>
      <c r="K48" s="4">
        <f t="shared" si="0"/>
        <v>0.60999999999999988</v>
      </c>
      <c r="L48" s="4">
        <f t="shared" si="1"/>
        <v>1.5893694632621154</v>
      </c>
    </row>
    <row r="49" spans="1:12" x14ac:dyDescent="0.25">
      <c r="A49" s="3">
        <v>40639</v>
      </c>
      <c r="B49" s="2" t="s">
        <v>112</v>
      </c>
      <c r="C49" s="2">
        <v>888</v>
      </c>
      <c r="D49" s="2">
        <v>1</v>
      </c>
      <c r="E49" s="10">
        <v>53.9</v>
      </c>
      <c r="F49" s="4">
        <v>16.079999999999998</v>
      </c>
      <c r="G49" s="4">
        <v>1.01</v>
      </c>
      <c r="H49" s="4">
        <v>3.81</v>
      </c>
      <c r="I49" s="4">
        <v>1.18</v>
      </c>
      <c r="J49" s="4">
        <v>10.199999999999999</v>
      </c>
      <c r="K49" s="4">
        <f t="shared" si="0"/>
        <v>0.16999999999999993</v>
      </c>
      <c r="L49" s="4">
        <f t="shared" si="1"/>
        <v>1.6666666666666659</v>
      </c>
    </row>
    <row r="50" spans="1:12" x14ac:dyDescent="0.25">
      <c r="A50" s="3">
        <v>40639</v>
      </c>
      <c r="B50" s="2" t="s">
        <v>112</v>
      </c>
      <c r="C50" s="2">
        <v>889</v>
      </c>
      <c r="D50" s="2">
        <v>1</v>
      </c>
      <c r="E50" s="10">
        <v>85.3</v>
      </c>
      <c r="F50" s="4">
        <v>35.6</v>
      </c>
      <c r="G50" s="4">
        <v>1.02</v>
      </c>
      <c r="H50" s="4">
        <v>5.46</v>
      </c>
      <c r="I50" s="4">
        <v>1.52</v>
      </c>
      <c r="J50" s="4">
        <v>25.24</v>
      </c>
      <c r="K50" s="4">
        <f t="shared" si="0"/>
        <v>0.5</v>
      </c>
      <c r="L50" s="4">
        <f t="shared" si="1"/>
        <v>1.9809825673534076</v>
      </c>
    </row>
    <row r="51" spans="1:12" x14ac:dyDescent="0.25">
      <c r="A51" s="3">
        <v>40639</v>
      </c>
      <c r="B51" s="2" t="s">
        <v>112</v>
      </c>
      <c r="C51" s="2">
        <v>890</v>
      </c>
      <c r="D51" s="2">
        <v>1</v>
      </c>
      <c r="E51" s="10">
        <v>100.3</v>
      </c>
      <c r="F51" s="4">
        <v>134.68</v>
      </c>
      <c r="G51" s="4">
        <v>1.04</v>
      </c>
      <c r="H51" s="4">
        <v>15.51</v>
      </c>
      <c r="I51" s="4">
        <v>2.41</v>
      </c>
      <c r="J51" s="4">
        <v>86.98</v>
      </c>
      <c r="K51" s="4">
        <f t="shared" si="0"/>
        <v>1.37</v>
      </c>
      <c r="L51" s="4">
        <f t="shared" si="1"/>
        <v>1.5750747298229477</v>
      </c>
    </row>
    <row r="52" spans="1:12" x14ac:dyDescent="0.25">
      <c r="A52" s="3">
        <v>40639</v>
      </c>
      <c r="B52" s="2" t="s">
        <v>112</v>
      </c>
      <c r="C52" s="2">
        <v>891</v>
      </c>
      <c r="D52" s="2">
        <v>2</v>
      </c>
      <c r="E52" s="10">
        <v>59.6</v>
      </c>
      <c r="F52" s="4">
        <v>21.94</v>
      </c>
      <c r="G52" s="4">
        <v>1.01</v>
      </c>
      <c r="H52" s="4">
        <v>4.3499999999999996</v>
      </c>
      <c r="I52" s="4">
        <v>1.28</v>
      </c>
      <c r="J52" s="4">
        <v>15.47</v>
      </c>
      <c r="K52" s="4">
        <f t="shared" si="0"/>
        <v>0.27</v>
      </c>
      <c r="L52" s="4">
        <f t="shared" si="1"/>
        <v>1.7453135100193924</v>
      </c>
    </row>
    <row r="53" spans="1:12" x14ac:dyDescent="0.25">
      <c r="A53" s="3">
        <v>40639</v>
      </c>
      <c r="B53" s="2" t="s">
        <v>112</v>
      </c>
      <c r="C53" s="2">
        <v>892</v>
      </c>
      <c r="D53" s="2">
        <v>2</v>
      </c>
      <c r="E53" s="10">
        <v>50.6</v>
      </c>
      <c r="F53" s="4">
        <v>13.21</v>
      </c>
      <c r="G53" s="4">
        <v>1.01</v>
      </c>
      <c r="H53" s="4">
        <v>3.02</v>
      </c>
      <c r="I53" s="4">
        <v>1.2</v>
      </c>
      <c r="J53" s="4">
        <v>8.6999999999999993</v>
      </c>
      <c r="K53" s="4">
        <f t="shared" si="0"/>
        <v>0.18999999999999995</v>
      </c>
      <c r="L53" s="4">
        <f t="shared" si="1"/>
        <v>2.1839080459770113</v>
      </c>
    </row>
    <row r="54" spans="1:12" x14ac:dyDescent="0.25">
      <c r="A54" s="3">
        <v>40639</v>
      </c>
      <c r="B54" s="2" t="s">
        <v>112</v>
      </c>
      <c r="C54" s="2">
        <v>893</v>
      </c>
      <c r="D54" s="2">
        <v>2</v>
      </c>
      <c r="E54" s="10">
        <v>41.9</v>
      </c>
      <c r="F54" s="4">
        <v>9.31</v>
      </c>
      <c r="G54" s="4">
        <v>1.03</v>
      </c>
      <c r="H54" s="4">
        <v>2.61</v>
      </c>
      <c r="I54" s="4">
        <v>1.17</v>
      </c>
      <c r="J54" s="4">
        <v>6.18</v>
      </c>
      <c r="K54" s="4">
        <f t="shared" si="0"/>
        <v>0.1399999999999999</v>
      </c>
      <c r="L54" s="4">
        <f t="shared" si="1"/>
        <v>2.265372168284788</v>
      </c>
    </row>
    <row r="55" spans="1:12" x14ac:dyDescent="0.25">
      <c r="A55" s="3">
        <v>40639</v>
      </c>
      <c r="B55" s="2" t="s">
        <v>112</v>
      </c>
      <c r="C55" s="2">
        <v>894</v>
      </c>
      <c r="D55" s="2">
        <v>2</v>
      </c>
      <c r="E55" s="10">
        <v>62.1</v>
      </c>
      <c r="F55" s="4">
        <v>26.96</v>
      </c>
      <c r="G55" s="4">
        <v>1.02</v>
      </c>
      <c r="H55" s="4">
        <v>4.37</v>
      </c>
      <c r="I55" s="4">
        <v>1.38</v>
      </c>
      <c r="J55" s="4">
        <v>18.77</v>
      </c>
      <c r="K55" s="4">
        <f t="shared" si="0"/>
        <v>0.35999999999999988</v>
      </c>
      <c r="L55" s="4">
        <f t="shared" si="1"/>
        <v>1.9179541822056465</v>
      </c>
    </row>
    <row r="56" spans="1:12" x14ac:dyDescent="0.25">
      <c r="A56" s="3">
        <v>40639</v>
      </c>
      <c r="B56" s="2" t="s">
        <v>112</v>
      </c>
      <c r="C56" s="2">
        <v>895</v>
      </c>
      <c r="D56" s="2">
        <v>2</v>
      </c>
      <c r="E56" s="10">
        <v>57</v>
      </c>
      <c r="F56" s="4">
        <v>22</v>
      </c>
      <c r="G56" s="4">
        <v>1.02</v>
      </c>
      <c r="H56" s="4">
        <v>5.3</v>
      </c>
      <c r="I56" s="4">
        <v>1.33</v>
      </c>
      <c r="J56" s="4">
        <v>14.32</v>
      </c>
      <c r="K56" s="4">
        <f t="shared" si="0"/>
        <v>0.31000000000000005</v>
      </c>
      <c r="L56" s="4">
        <f t="shared" si="1"/>
        <v>2.1648044692737436</v>
      </c>
    </row>
    <row r="57" spans="1:12" x14ac:dyDescent="0.25">
      <c r="A57" s="3">
        <v>40639</v>
      </c>
      <c r="B57" s="2" t="s">
        <v>112</v>
      </c>
      <c r="C57" s="2">
        <v>896</v>
      </c>
      <c r="D57" s="2">
        <v>3</v>
      </c>
      <c r="E57" s="10">
        <v>73.599999999999994</v>
      </c>
      <c r="F57" s="4">
        <v>41.11</v>
      </c>
      <c r="G57" s="4">
        <v>1.01</v>
      </c>
      <c r="H57" s="4">
        <v>7.31</v>
      </c>
      <c r="I57" s="4">
        <v>1.62</v>
      </c>
      <c r="J57" s="4">
        <v>28.42</v>
      </c>
      <c r="K57" s="4">
        <f t="shared" si="0"/>
        <v>0.6100000000000001</v>
      </c>
      <c r="L57" s="4">
        <f t="shared" si="1"/>
        <v>2.1463757916959891</v>
      </c>
    </row>
    <row r="58" spans="1:12" x14ac:dyDescent="0.25">
      <c r="A58" s="3">
        <v>40639</v>
      </c>
      <c r="B58" s="2" t="s">
        <v>112</v>
      </c>
      <c r="C58" s="2">
        <v>897</v>
      </c>
      <c r="D58" s="2">
        <v>3</v>
      </c>
      <c r="E58" s="10">
        <v>96</v>
      </c>
      <c r="F58" s="4">
        <v>81.349999999999994</v>
      </c>
      <c r="G58" s="4">
        <v>1.01</v>
      </c>
      <c r="H58" s="4">
        <v>11.37</v>
      </c>
      <c r="I58" s="4">
        <v>2.36</v>
      </c>
      <c r="J58" s="4">
        <v>56.19</v>
      </c>
      <c r="K58" s="4">
        <f t="shared" si="0"/>
        <v>1.3499999999999999</v>
      </c>
      <c r="L58" s="4">
        <f t="shared" si="1"/>
        <v>2.4025627335824877</v>
      </c>
    </row>
    <row r="59" spans="1:12" x14ac:dyDescent="0.25">
      <c r="A59" s="3">
        <v>40639</v>
      </c>
      <c r="B59" s="2" t="s">
        <v>112</v>
      </c>
      <c r="C59" s="2">
        <v>898</v>
      </c>
      <c r="D59" s="2">
        <v>3</v>
      </c>
      <c r="E59" s="10">
        <v>64</v>
      </c>
      <c r="F59" s="4">
        <v>33.5</v>
      </c>
      <c r="G59" s="4">
        <v>1.01</v>
      </c>
      <c r="H59" s="4">
        <v>6.38</v>
      </c>
      <c r="I59" s="4">
        <v>1.54</v>
      </c>
      <c r="J59" s="4">
        <v>23.05</v>
      </c>
      <c r="K59" s="4">
        <f t="shared" si="0"/>
        <v>0.53</v>
      </c>
      <c r="L59" s="4">
        <f t="shared" si="1"/>
        <v>2.2993492407809111</v>
      </c>
    </row>
    <row r="60" spans="1:12" x14ac:dyDescent="0.25">
      <c r="A60" s="3">
        <v>40639</v>
      </c>
      <c r="B60" s="2" t="s">
        <v>112</v>
      </c>
      <c r="C60" s="2">
        <v>899</v>
      </c>
      <c r="D60" s="2">
        <v>3</v>
      </c>
      <c r="E60" s="10">
        <v>63.3</v>
      </c>
      <c r="F60" s="4">
        <v>57.45</v>
      </c>
      <c r="G60" s="4">
        <v>1</v>
      </c>
      <c r="H60" s="4">
        <v>5.55</v>
      </c>
      <c r="I60" s="4">
        <v>1.74</v>
      </c>
      <c r="J60" s="4">
        <v>46.8</v>
      </c>
      <c r="K60" s="4">
        <f t="shared" si="0"/>
        <v>0.74</v>
      </c>
      <c r="L60" s="4">
        <f t="shared" si="1"/>
        <v>1.5811965811965811</v>
      </c>
    </row>
    <row r="61" spans="1:12" x14ac:dyDescent="0.25">
      <c r="A61" s="3">
        <v>40639</v>
      </c>
      <c r="B61" s="2" t="s">
        <v>112</v>
      </c>
      <c r="C61" s="2">
        <v>900</v>
      </c>
      <c r="D61" s="2">
        <v>3</v>
      </c>
      <c r="E61" s="10">
        <v>64.2</v>
      </c>
      <c r="F61" s="4">
        <v>29.79</v>
      </c>
      <c r="G61" s="4">
        <v>1.03</v>
      </c>
      <c r="H61" s="4">
        <v>5.13</v>
      </c>
      <c r="I61" s="4">
        <v>1.57</v>
      </c>
      <c r="J61" s="4">
        <v>22.24</v>
      </c>
      <c r="K61" s="4">
        <f t="shared" si="0"/>
        <v>0.54</v>
      </c>
      <c r="L61" s="4">
        <f t="shared" si="1"/>
        <v>2.4280575539568345</v>
      </c>
    </row>
    <row r="62" spans="1:12" x14ac:dyDescent="0.25">
      <c r="A62" s="3">
        <v>40667</v>
      </c>
      <c r="B62" s="2" t="s">
        <v>112</v>
      </c>
      <c r="C62" s="2">
        <v>901</v>
      </c>
      <c r="D62" s="2">
        <v>1</v>
      </c>
      <c r="E62" s="10">
        <v>110.5</v>
      </c>
      <c r="F62" s="4">
        <v>174.54</v>
      </c>
      <c r="G62" s="4">
        <v>1</v>
      </c>
      <c r="H62" s="4">
        <v>18.32</v>
      </c>
      <c r="I62" s="4">
        <v>2.91</v>
      </c>
      <c r="J62" s="4">
        <v>123.34</v>
      </c>
      <c r="K62" s="4">
        <f t="shared" si="0"/>
        <v>1.9100000000000001</v>
      </c>
      <c r="L62" s="4">
        <f t="shared" si="1"/>
        <v>1.5485649424355441</v>
      </c>
    </row>
    <row r="63" spans="1:12" x14ac:dyDescent="0.25">
      <c r="A63" s="3">
        <v>40667</v>
      </c>
      <c r="B63" s="2" t="s">
        <v>112</v>
      </c>
      <c r="C63" s="2">
        <f>C62+1</f>
        <v>902</v>
      </c>
      <c r="D63" s="2">
        <v>1</v>
      </c>
      <c r="E63" s="10">
        <v>122.9</v>
      </c>
      <c r="F63" s="4">
        <v>99.44</v>
      </c>
      <c r="G63" s="4">
        <v>1.02</v>
      </c>
      <c r="H63" s="4">
        <v>12.16</v>
      </c>
      <c r="I63" s="4">
        <v>2.11</v>
      </c>
      <c r="J63" s="4">
        <v>64.58</v>
      </c>
      <c r="K63" s="4">
        <f t="shared" si="0"/>
        <v>1.0899999999999999</v>
      </c>
      <c r="L63" s="4">
        <f t="shared" si="1"/>
        <v>1.6878290492412511</v>
      </c>
    </row>
    <row r="64" spans="1:12" x14ac:dyDescent="0.25">
      <c r="A64" s="3">
        <v>40667</v>
      </c>
      <c r="B64" s="2" t="s">
        <v>112</v>
      </c>
      <c r="C64" s="2">
        <f t="shared" ref="C64:C76" si="3">C63+1</f>
        <v>903</v>
      </c>
      <c r="D64" s="2">
        <v>1</v>
      </c>
      <c r="E64" s="10">
        <v>82</v>
      </c>
      <c r="F64" s="4">
        <v>54.94</v>
      </c>
      <c r="G64" s="4">
        <v>0.97</v>
      </c>
      <c r="H64" s="4">
        <v>7.35</v>
      </c>
      <c r="I64" s="4">
        <v>1.78</v>
      </c>
      <c r="J64" s="4">
        <v>34.619999999999997</v>
      </c>
      <c r="K64" s="4">
        <f t="shared" si="0"/>
        <v>0.81</v>
      </c>
      <c r="L64" s="4">
        <f t="shared" si="1"/>
        <v>2.3396880415944543</v>
      </c>
    </row>
    <row r="65" spans="1:12" x14ac:dyDescent="0.25">
      <c r="A65" s="3">
        <v>40667</v>
      </c>
      <c r="B65" s="2" t="s">
        <v>112</v>
      </c>
      <c r="C65" s="2">
        <f t="shared" si="3"/>
        <v>904</v>
      </c>
      <c r="D65" s="2">
        <v>1</v>
      </c>
      <c r="E65" s="10">
        <v>84.4</v>
      </c>
      <c r="F65" s="4">
        <v>56.01</v>
      </c>
      <c r="G65" s="4">
        <v>0.99</v>
      </c>
      <c r="H65" s="4">
        <v>9.2100000000000009</v>
      </c>
      <c r="I65" s="4">
        <v>1.87</v>
      </c>
      <c r="J65" s="4">
        <v>37.19</v>
      </c>
      <c r="K65" s="4">
        <f t="shared" si="0"/>
        <v>0.88000000000000012</v>
      </c>
      <c r="L65" s="4">
        <f t="shared" si="1"/>
        <v>2.3662274805055126</v>
      </c>
    </row>
    <row r="66" spans="1:12" x14ac:dyDescent="0.25">
      <c r="A66" s="3">
        <v>40667</v>
      </c>
      <c r="B66" s="2" t="s">
        <v>112</v>
      </c>
      <c r="C66" s="2">
        <f t="shared" si="3"/>
        <v>905</v>
      </c>
      <c r="D66" s="2">
        <v>1</v>
      </c>
      <c r="E66" s="10">
        <v>63.5</v>
      </c>
      <c r="F66" s="4">
        <v>28.11</v>
      </c>
      <c r="G66" s="4">
        <v>1</v>
      </c>
      <c r="H66" s="4">
        <v>5.3</v>
      </c>
      <c r="I66" s="4">
        <v>1.6</v>
      </c>
      <c r="J66" s="4">
        <v>17.27</v>
      </c>
      <c r="K66" s="4">
        <f t="shared" ref="K66:K129" si="4">I66-G66</f>
        <v>0.60000000000000009</v>
      </c>
      <c r="L66" s="4">
        <f t="shared" ref="L66:L129" si="5">(K66/J66)*100</f>
        <v>3.474232773595832</v>
      </c>
    </row>
    <row r="67" spans="1:12" x14ac:dyDescent="0.25">
      <c r="A67" s="3">
        <v>40667</v>
      </c>
      <c r="B67" s="2" t="s">
        <v>112</v>
      </c>
      <c r="C67" s="2">
        <f t="shared" si="3"/>
        <v>906</v>
      </c>
      <c r="D67" s="2">
        <v>2</v>
      </c>
      <c r="E67" s="10">
        <v>76.599999999999994</v>
      </c>
      <c r="F67" s="4">
        <v>57.8</v>
      </c>
      <c r="G67" s="4">
        <v>1</v>
      </c>
      <c r="H67" s="4">
        <v>10.16</v>
      </c>
      <c r="I67" s="4">
        <v>1.72</v>
      </c>
      <c r="J67" s="4">
        <v>32.799999999999997</v>
      </c>
      <c r="K67" s="4">
        <f t="shared" si="4"/>
        <v>0.72</v>
      </c>
      <c r="L67" s="4">
        <f t="shared" si="5"/>
        <v>2.1951219512195124</v>
      </c>
    </row>
    <row r="68" spans="1:12" x14ac:dyDescent="0.25">
      <c r="A68" s="3">
        <v>40667</v>
      </c>
      <c r="B68" s="2" t="s">
        <v>112</v>
      </c>
      <c r="C68" s="2">
        <f t="shared" si="3"/>
        <v>907</v>
      </c>
      <c r="D68" s="2">
        <v>2</v>
      </c>
      <c r="E68" s="10">
        <v>88.9</v>
      </c>
      <c r="F68" s="4">
        <v>63.2</v>
      </c>
      <c r="G68" s="4">
        <v>1</v>
      </c>
      <c r="H68" s="4">
        <v>10.44</v>
      </c>
      <c r="I68" s="4">
        <v>2.4</v>
      </c>
      <c r="J68" s="4">
        <v>44.92</v>
      </c>
      <c r="K68" s="4">
        <f t="shared" si="4"/>
        <v>1.4</v>
      </c>
      <c r="L68" s="4">
        <f t="shared" si="5"/>
        <v>3.1166518254674975</v>
      </c>
    </row>
    <row r="69" spans="1:12" x14ac:dyDescent="0.25">
      <c r="A69" s="3">
        <v>40667</v>
      </c>
      <c r="B69" s="2" t="s">
        <v>112</v>
      </c>
      <c r="C69" s="2">
        <f t="shared" si="3"/>
        <v>908</v>
      </c>
      <c r="D69" s="2">
        <v>2</v>
      </c>
      <c r="E69" s="10">
        <v>61.1</v>
      </c>
      <c r="F69" s="4">
        <v>32.51</v>
      </c>
      <c r="G69" s="4">
        <v>1.01</v>
      </c>
      <c r="H69" s="4">
        <v>5.5</v>
      </c>
      <c r="I69" s="4">
        <v>1.59</v>
      </c>
      <c r="J69" s="4">
        <v>23.07</v>
      </c>
      <c r="K69" s="4">
        <f t="shared" si="4"/>
        <v>0.58000000000000007</v>
      </c>
      <c r="L69" s="4">
        <f t="shared" si="5"/>
        <v>2.5140875596012138</v>
      </c>
    </row>
    <row r="70" spans="1:12" x14ac:dyDescent="0.25">
      <c r="A70" s="3">
        <v>40667</v>
      </c>
      <c r="B70" s="2" t="s">
        <v>112</v>
      </c>
      <c r="C70" s="2">
        <f t="shared" si="3"/>
        <v>909</v>
      </c>
      <c r="D70" s="2">
        <v>2</v>
      </c>
      <c r="E70" s="10">
        <v>70.2</v>
      </c>
      <c r="F70" s="4">
        <v>43.85</v>
      </c>
      <c r="G70" s="4">
        <v>0.98</v>
      </c>
      <c r="H70" s="4">
        <v>5.9</v>
      </c>
      <c r="I70" s="4">
        <v>1.49</v>
      </c>
      <c r="J70" s="4">
        <v>27.93</v>
      </c>
      <c r="K70" s="4">
        <f t="shared" si="4"/>
        <v>0.51</v>
      </c>
      <c r="L70" s="4">
        <f t="shared" si="5"/>
        <v>1.8259935553168638</v>
      </c>
    </row>
    <row r="71" spans="1:12" x14ac:dyDescent="0.25">
      <c r="A71" s="3">
        <v>40667</v>
      </c>
      <c r="B71" s="2" t="s">
        <v>112</v>
      </c>
      <c r="C71" s="2">
        <f t="shared" si="3"/>
        <v>910</v>
      </c>
      <c r="D71" s="2">
        <v>2</v>
      </c>
      <c r="E71" s="10">
        <v>58</v>
      </c>
      <c r="F71" s="4">
        <v>30.03</v>
      </c>
      <c r="G71" s="4">
        <v>0.97</v>
      </c>
      <c r="H71" s="4">
        <v>6.44</v>
      </c>
      <c r="I71" s="4">
        <v>1.69</v>
      </c>
      <c r="J71" s="4">
        <v>19.649999999999999</v>
      </c>
      <c r="K71" s="4">
        <f t="shared" si="4"/>
        <v>0.72</v>
      </c>
      <c r="L71" s="4">
        <f t="shared" si="5"/>
        <v>3.6641221374045805</v>
      </c>
    </row>
    <row r="72" spans="1:12" x14ac:dyDescent="0.25">
      <c r="A72" s="3">
        <v>40667</v>
      </c>
      <c r="B72" s="2" t="s">
        <v>112</v>
      </c>
      <c r="C72" s="2">
        <f t="shared" si="3"/>
        <v>911</v>
      </c>
      <c r="D72" s="2">
        <v>3</v>
      </c>
      <c r="E72" s="10">
        <v>74.8</v>
      </c>
      <c r="F72" s="4">
        <v>56.07</v>
      </c>
      <c r="G72" s="4">
        <v>0.99</v>
      </c>
      <c r="H72" s="4">
        <v>8.0399999999999991</v>
      </c>
      <c r="I72" s="4">
        <v>1.73</v>
      </c>
      <c r="J72" s="4">
        <v>37.49</v>
      </c>
      <c r="K72" s="4">
        <f t="shared" si="4"/>
        <v>0.74</v>
      </c>
      <c r="L72" s="4">
        <f t="shared" si="5"/>
        <v>1.9738596959189114</v>
      </c>
    </row>
    <row r="73" spans="1:12" x14ac:dyDescent="0.25">
      <c r="A73" s="3">
        <v>40667</v>
      </c>
      <c r="B73" s="2" t="s">
        <v>112</v>
      </c>
      <c r="C73" s="2">
        <f t="shared" si="3"/>
        <v>912</v>
      </c>
      <c r="D73" s="2">
        <v>3</v>
      </c>
      <c r="E73" s="10">
        <v>72.8</v>
      </c>
      <c r="F73" s="4">
        <v>93.77</v>
      </c>
      <c r="G73" s="4">
        <v>1</v>
      </c>
      <c r="H73" s="4">
        <v>14.05</v>
      </c>
      <c r="I73" s="4">
        <v>2.0299999999999998</v>
      </c>
      <c r="J73" s="4">
        <v>53.16</v>
      </c>
      <c r="K73" s="4">
        <f t="shared" si="4"/>
        <v>1.0299999999999998</v>
      </c>
      <c r="L73" s="4">
        <f t="shared" si="5"/>
        <v>1.9375470278404812</v>
      </c>
    </row>
    <row r="74" spans="1:12" x14ac:dyDescent="0.25">
      <c r="A74" s="3">
        <v>40667</v>
      </c>
      <c r="B74" s="2" t="s">
        <v>112</v>
      </c>
      <c r="C74" s="2">
        <f t="shared" si="3"/>
        <v>913</v>
      </c>
      <c r="D74" s="2">
        <v>3</v>
      </c>
      <c r="E74" s="10">
        <v>55.1</v>
      </c>
      <c r="F74" s="4">
        <v>34.21</v>
      </c>
      <c r="G74" s="4">
        <v>0.99</v>
      </c>
      <c r="H74" s="4">
        <v>5.1100000000000003</v>
      </c>
      <c r="I74" s="4">
        <v>1.44</v>
      </c>
      <c r="J74" s="4">
        <v>22.82</v>
      </c>
      <c r="K74" s="4">
        <f t="shared" si="4"/>
        <v>0.44999999999999996</v>
      </c>
      <c r="L74" s="4">
        <f t="shared" si="5"/>
        <v>1.971954425942156</v>
      </c>
    </row>
    <row r="75" spans="1:12" x14ac:dyDescent="0.25">
      <c r="A75" s="3">
        <v>40667</v>
      </c>
      <c r="B75" s="2" t="s">
        <v>112</v>
      </c>
      <c r="C75" s="2">
        <f t="shared" si="3"/>
        <v>914</v>
      </c>
      <c r="D75" s="2">
        <v>3</v>
      </c>
      <c r="E75" s="10">
        <v>53.7</v>
      </c>
      <c r="F75" s="4">
        <v>27.3</v>
      </c>
      <c r="G75" s="4">
        <v>0.99</v>
      </c>
      <c r="H75" s="4">
        <v>4.78</v>
      </c>
      <c r="I75" s="4">
        <v>1.35</v>
      </c>
      <c r="J75" s="4">
        <v>19.32</v>
      </c>
      <c r="K75" s="4">
        <f t="shared" si="4"/>
        <v>0.3600000000000001</v>
      </c>
      <c r="L75" s="4">
        <f t="shared" si="5"/>
        <v>1.8633540372670812</v>
      </c>
    </row>
    <row r="76" spans="1:12" x14ac:dyDescent="0.25">
      <c r="A76" s="3">
        <v>40667</v>
      </c>
      <c r="B76" s="2" t="s">
        <v>112</v>
      </c>
      <c r="C76" s="2">
        <f t="shared" si="3"/>
        <v>915</v>
      </c>
      <c r="D76" s="2">
        <v>3</v>
      </c>
      <c r="E76" s="10">
        <v>60.2</v>
      </c>
      <c r="F76" s="4">
        <v>42.03</v>
      </c>
      <c r="G76" s="4">
        <v>1</v>
      </c>
      <c r="H76" s="4">
        <v>7.35</v>
      </c>
      <c r="I76" s="4">
        <v>1.79</v>
      </c>
      <c r="J76" s="4">
        <v>28.09</v>
      </c>
      <c r="K76" s="4">
        <f t="shared" si="4"/>
        <v>0.79</v>
      </c>
      <c r="L76" s="4">
        <f t="shared" si="5"/>
        <v>2.812388750444998</v>
      </c>
    </row>
    <row r="77" spans="1:12" x14ac:dyDescent="0.25">
      <c r="A77" s="3">
        <v>40695</v>
      </c>
      <c r="B77" s="2" t="s">
        <v>112</v>
      </c>
      <c r="C77" s="2">
        <v>916</v>
      </c>
      <c r="D77" s="2">
        <v>1</v>
      </c>
      <c r="E77" s="10">
        <v>79.400000000000006</v>
      </c>
      <c r="F77" s="4">
        <v>60.6</v>
      </c>
      <c r="G77" s="4">
        <v>1.01</v>
      </c>
      <c r="H77" s="4">
        <v>8.5299999999999994</v>
      </c>
      <c r="I77" s="4">
        <v>1.99</v>
      </c>
      <c r="J77" s="4">
        <v>44.35</v>
      </c>
      <c r="K77" s="4">
        <f t="shared" si="4"/>
        <v>0.98</v>
      </c>
      <c r="L77" s="4">
        <f t="shared" si="5"/>
        <v>2.2096956031567081</v>
      </c>
    </row>
    <row r="78" spans="1:12" x14ac:dyDescent="0.25">
      <c r="A78" s="3">
        <v>40695</v>
      </c>
      <c r="B78" s="2" t="s">
        <v>112</v>
      </c>
      <c r="C78" s="2">
        <f>C77+1</f>
        <v>917</v>
      </c>
      <c r="D78" s="2">
        <v>1</v>
      </c>
      <c r="E78" s="10">
        <v>84.5</v>
      </c>
      <c r="F78" s="4">
        <v>49.31</v>
      </c>
      <c r="G78" s="4">
        <v>0.99</v>
      </c>
      <c r="H78" s="4">
        <v>7.01</v>
      </c>
      <c r="I78" s="4">
        <v>2.0299999999999998</v>
      </c>
      <c r="J78" s="4">
        <v>31.08</v>
      </c>
      <c r="K78" s="4">
        <f t="shared" si="4"/>
        <v>1.0399999999999998</v>
      </c>
      <c r="L78" s="4">
        <f t="shared" si="5"/>
        <v>3.3462033462033456</v>
      </c>
    </row>
    <row r="79" spans="1:12" x14ac:dyDescent="0.25">
      <c r="A79" s="3">
        <v>40695</v>
      </c>
      <c r="B79" s="2" t="s">
        <v>112</v>
      </c>
      <c r="C79" s="2">
        <f t="shared" ref="C79:C91" si="6">C78+1</f>
        <v>918</v>
      </c>
      <c r="D79" s="2">
        <v>1</v>
      </c>
      <c r="E79" s="10">
        <v>79.5</v>
      </c>
      <c r="F79" s="4">
        <v>80.36</v>
      </c>
      <c r="G79" s="4">
        <v>1.02</v>
      </c>
      <c r="H79" s="4">
        <v>11.7</v>
      </c>
      <c r="I79" s="4">
        <v>2.09</v>
      </c>
      <c r="J79" s="4">
        <v>50.9</v>
      </c>
      <c r="K79" s="4">
        <f t="shared" si="4"/>
        <v>1.0699999999999998</v>
      </c>
      <c r="L79" s="4">
        <f t="shared" si="5"/>
        <v>2.1021611001964633</v>
      </c>
    </row>
    <row r="80" spans="1:12" x14ac:dyDescent="0.25">
      <c r="A80" s="3">
        <v>40695</v>
      </c>
      <c r="B80" s="2" t="s">
        <v>112</v>
      </c>
      <c r="C80" s="2">
        <f t="shared" si="6"/>
        <v>919</v>
      </c>
      <c r="D80" s="2">
        <v>1</v>
      </c>
      <c r="E80" s="10">
        <v>94.9</v>
      </c>
      <c r="F80" s="4">
        <v>62.93</v>
      </c>
      <c r="G80" s="4">
        <v>1.01</v>
      </c>
      <c r="H80" s="4">
        <v>9.07</v>
      </c>
      <c r="I80" s="4">
        <v>2.0299999999999998</v>
      </c>
      <c r="J80" s="4">
        <v>42.96</v>
      </c>
      <c r="K80" s="4">
        <f t="shared" si="4"/>
        <v>1.0199999999999998</v>
      </c>
      <c r="L80" s="4">
        <f t="shared" si="5"/>
        <v>2.3743016759776534</v>
      </c>
    </row>
    <row r="81" spans="1:12" x14ac:dyDescent="0.25">
      <c r="A81" s="3">
        <v>40695</v>
      </c>
      <c r="B81" s="2" t="s">
        <v>112</v>
      </c>
      <c r="C81" s="2">
        <f t="shared" si="6"/>
        <v>920</v>
      </c>
      <c r="D81" s="2">
        <v>1</v>
      </c>
      <c r="E81" s="10">
        <v>79.7</v>
      </c>
      <c r="F81" s="4">
        <v>33.39</v>
      </c>
      <c r="G81" s="4">
        <v>1</v>
      </c>
      <c r="H81" s="4">
        <v>5.35</v>
      </c>
      <c r="I81" s="4">
        <v>1.51</v>
      </c>
      <c r="J81" s="4">
        <v>21.2</v>
      </c>
      <c r="K81" s="4">
        <f t="shared" si="4"/>
        <v>0.51</v>
      </c>
      <c r="L81" s="4">
        <f t="shared" si="5"/>
        <v>2.4056603773584908</v>
      </c>
    </row>
    <row r="82" spans="1:12" x14ac:dyDescent="0.25">
      <c r="A82" s="3">
        <v>40695</v>
      </c>
      <c r="B82" s="2" t="s">
        <v>112</v>
      </c>
      <c r="C82" s="2">
        <f t="shared" si="6"/>
        <v>921</v>
      </c>
      <c r="D82" s="2">
        <v>2</v>
      </c>
      <c r="E82" s="10">
        <v>42.6</v>
      </c>
      <c r="F82" s="4">
        <v>23.67</v>
      </c>
      <c r="G82" s="4">
        <v>1</v>
      </c>
      <c r="H82" s="4">
        <v>4.0599999999999996</v>
      </c>
      <c r="I82" s="4">
        <v>1.52</v>
      </c>
      <c r="J82" s="4">
        <v>15.78</v>
      </c>
      <c r="K82" s="4">
        <f t="shared" si="4"/>
        <v>0.52</v>
      </c>
      <c r="L82" s="4">
        <f t="shared" si="5"/>
        <v>3.2953105196451205</v>
      </c>
    </row>
    <row r="83" spans="1:12" x14ac:dyDescent="0.25">
      <c r="A83" s="3">
        <v>40695</v>
      </c>
      <c r="B83" s="2" t="s">
        <v>112</v>
      </c>
      <c r="C83" s="2">
        <f t="shared" si="6"/>
        <v>922</v>
      </c>
      <c r="D83" s="2">
        <v>2</v>
      </c>
      <c r="E83" s="10">
        <v>49.8</v>
      </c>
      <c r="F83" s="4">
        <v>24.9</v>
      </c>
      <c r="G83" s="4">
        <v>1.02</v>
      </c>
      <c r="H83" s="4">
        <v>4.49</v>
      </c>
      <c r="I83" s="4">
        <v>1.66</v>
      </c>
      <c r="J83" s="4">
        <v>18.3</v>
      </c>
      <c r="K83" s="4">
        <f t="shared" si="4"/>
        <v>0.6399999999999999</v>
      </c>
      <c r="L83" s="4">
        <f t="shared" si="5"/>
        <v>3.497267759562841</v>
      </c>
    </row>
    <row r="84" spans="1:12" x14ac:dyDescent="0.25">
      <c r="A84" s="3">
        <v>40695</v>
      </c>
      <c r="B84" s="2" t="s">
        <v>112</v>
      </c>
      <c r="C84" s="2">
        <f t="shared" si="6"/>
        <v>923</v>
      </c>
      <c r="D84" s="2">
        <v>2</v>
      </c>
      <c r="E84" s="10">
        <v>49</v>
      </c>
      <c r="F84" s="4">
        <v>22.89</v>
      </c>
      <c r="G84" s="4">
        <v>1</v>
      </c>
      <c r="H84" s="4">
        <v>5.0999999999999996</v>
      </c>
      <c r="I84" s="4">
        <v>1.65</v>
      </c>
      <c r="J84" s="4">
        <v>15.48</v>
      </c>
      <c r="K84" s="4">
        <f t="shared" si="4"/>
        <v>0.64999999999999991</v>
      </c>
      <c r="L84" s="4">
        <f t="shared" si="5"/>
        <v>4.198966408268733</v>
      </c>
    </row>
    <row r="85" spans="1:12" x14ac:dyDescent="0.25">
      <c r="A85" s="3">
        <v>40695</v>
      </c>
      <c r="B85" s="2" t="s">
        <v>112</v>
      </c>
      <c r="C85" s="2">
        <f t="shared" si="6"/>
        <v>924</v>
      </c>
      <c r="D85" s="2">
        <v>2</v>
      </c>
      <c r="E85" s="10">
        <v>44.5</v>
      </c>
      <c r="F85" s="4">
        <v>24.71</v>
      </c>
      <c r="G85" s="4">
        <v>1.01</v>
      </c>
      <c r="H85" s="4">
        <v>3.94</v>
      </c>
      <c r="I85" s="4">
        <v>1.45</v>
      </c>
      <c r="J85" s="4">
        <v>17.25</v>
      </c>
      <c r="K85" s="4">
        <f t="shared" si="4"/>
        <v>0.43999999999999995</v>
      </c>
      <c r="L85" s="4">
        <f t="shared" si="5"/>
        <v>2.5507246376811588</v>
      </c>
    </row>
    <row r="86" spans="1:12" x14ac:dyDescent="0.25">
      <c r="A86" s="3">
        <v>40695</v>
      </c>
      <c r="B86" s="2" t="s">
        <v>112</v>
      </c>
      <c r="C86" s="2">
        <f t="shared" si="6"/>
        <v>925</v>
      </c>
      <c r="D86" s="2">
        <v>2</v>
      </c>
      <c r="E86" s="10">
        <v>48.9</v>
      </c>
      <c r="F86" s="4">
        <v>21.02</v>
      </c>
      <c r="G86" s="4">
        <v>1</v>
      </c>
      <c r="H86" s="4">
        <v>3.76</v>
      </c>
      <c r="I86" s="4">
        <v>1.46</v>
      </c>
      <c r="J86" s="4">
        <v>13.91</v>
      </c>
      <c r="K86" s="4">
        <f t="shared" si="4"/>
        <v>0.45999999999999996</v>
      </c>
      <c r="L86" s="4">
        <f t="shared" si="5"/>
        <v>3.3069734004313442</v>
      </c>
    </row>
    <row r="87" spans="1:12" x14ac:dyDescent="0.25">
      <c r="A87" s="3">
        <v>40695</v>
      </c>
      <c r="B87" s="2" t="s">
        <v>112</v>
      </c>
      <c r="C87" s="2">
        <f t="shared" si="6"/>
        <v>926</v>
      </c>
      <c r="D87" s="2">
        <v>3</v>
      </c>
      <c r="E87" s="10">
        <v>65</v>
      </c>
      <c r="F87" s="4">
        <v>60.8</v>
      </c>
      <c r="G87" s="4">
        <v>1</v>
      </c>
      <c r="H87" s="4">
        <v>7.51</v>
      </c>
      <c r="I87" s="4">
        <v>1.83</v>
      </c>
      <c r="J87" s="4">
        <v>43.02</v>
      </c>
      <c r="K87" s="4">
        <f t="shared" si="4"/>
        <v>0.83000000000000007</v>
      </c>
      <c r="L87" s="4">
        <f t="shared" si="5"/>
        <v>1.9293351929335192</v>
      </c>
    </row>
    <row r="88" spans="1:12" x14ac:dyDescent="0.25">
      <c r="A88" s="3">
        <v>40695</v>
      </c>
      <c r="B88" s="2" t="s">
        <v>112</v>
      </c>
      <c r="C88" s="2">
        <f t="shared" si="6"/>
        <v>927</v>
      </c>
      <c r="D88" s="2">
        <v>3</v>
      </c>
      <c r="E88" s="10">
        <v>64</v>
      </c>
      <c r="F88" s="4">
        <v>46.2</v>
      </c>
      <c r="G88" s="4">
        <v>1.02</v>
      </c>
      <c r="H88" s="4">
        <v>6.48</v>
      </c>
      <c r="I88" s="4">
        <v>1.51</v>
      </c>
      <c r="J88" s="4">
        <v>31.1</v>
      </c>
      <c r="K88" s="4">
        <f t="shared" si="4"/>
        <v>0.49</v>
      </c>
      <c r="L88" s="4">
        <f t="shared" si="5"/>
        <v>1.5755627009646302</v>
      </c>
    </row>
    <row r="89" spans="1:12" x14ac:dyDescent="0.25">
      <c r="A89" s="3">
        <v>40695</v>
      </c>
      <c r="B89" s="2" t="s">
        <v>112</v>
      </c>
      <c r="C89" s="2">
        <f t="shared" si="6"/>
        <v>928</v>
      </c>
      <c r="D89" s="2">
        <v>3</v>
      </c>
      <c r="E89" s="10">
        <v>76.2</v>
      </c>
      <c r="F89" s="4">
        <v>44.19</v>
      </c>
      <c r="G89" s="4">
        <v>1.01</v>
      </c>
      <c r="H89" s="4">
        <v>9.51</v>
      </c>
      <c r="I89" s="4">
        <v>1.93</v>
      </c>
      <c r="J89" s="4">
        <v>27.2</v>
      </c>
      <c r="K89" s="4">
        <f t="shared" si="4"/>
        <v>0.91999999999999993</v>
      </c>
      <c r="L89" s="4">
        <f t="shared" si="5"/>
        <v>3.3823529411764706</v>
      </c>
    </row>
    <row r="90" spans="1:12" x14ac:dyDescent="0.25">
      <c r="A90" s="3">
        <v>40695</v>
      </c>
      <c r="B90" s="2" t="s">
        <v>112</v>
      </c>
      <c r="C90" s="2">
        <f t="shared" si="6"/>
        <v>929</v>
      </c>
      <c r="D90" s="2">
        <v>3</v>
      </c>
      <c r="E90" s="10">
        <v>62.8</v>
      </c>
      <c r="F90" s="4">
        <v>40.78</v>
      </c>
      <c r="G90" s="4">
        <v>0.99</v>
      </c>
      <c r="H90" s="4">
        <v>4.75</v>
      </c>
      <c r="I90" s="4">
        <v>1.66</v>
      </c>
      <c r="J90" s="4">
        <v>29.97</v>
      </c>
      <c r="K90" s="4">
        <f t="shared" si="4"/>
        <v>0.66999999999999993</v>
      </c>
      <c r="L90" s="4">
        <f t="shared" si="5"/>
        <v>2.2355689022355687</v>
      </c>
    </row>
    <row r="91" spans="1:12" x14ac:dyDescent="0.25">
      <c r="A91" s="3">
        <v>40695</v>
      </c>
      <c r="B91" s="2" t="s">
        <v>112</v>
      </c>
      <c r="C91" s="2">
        <f t="shared" si="6"/>
        <v>930</v>
      </c>
      <c r="D91" s="2">
        <v>3</v>
      </c>
      <c r="E91" s="10">
        <v>77.400000000000006</v>
      </c>
      <c r="F91" s="4">
        <v>34.81</v>
      </c>
      <c r="G91" s="4">
        <v>1.02</v>
      </c>
      <c r="H91" s="4">
        <v>4.71</v>
      </c>
      <c r="I91" s="4">
        <v>1.59</v>
      </c>
      <c r="J91" s="4">
        <v>25.33</v>
      </c>
      <c r="K91" s="4">
        <f t="shared" si="4"/>
        <v>0.57000000000000006</v>
      </c>
      <c r="L91" s="4">
        <f t="shared" si="5"/>
        <v>2.2502960915909993</v>
      </c>
    </row>
    <row r="92" spans="1:12" x14ac:dyDescent="0.25">
      <c r="A92" s="3">
        <v>40730</v>
      </c>
      <c r="B92" s="2" t="s">
        <v>112</v>
      </c>
      <c r="C92" s="2">
        <v>931</v>
      </c>
      <c r="D92" s="2">
        <v>1</v>
      </c>
      <c r="E92" s="10">
        <v>88.2</v>
      </c>
      <c r="F92" s="4">
        <v>65.66</v>
      </c>
      <c r="G92" s="4">
        <v>0.98</v>
      </c>
      <c r="H92" s="4">
        <v>6.81</v>
      </c>
      <c r="I92" s="4">
        <v>1.81</v>
      </c>
      <c r="J92" s="4">
        <v>41.3</v>
      </c>
      <c r="K92" s="4">
        <f t="shared" si="4"/>
        <v>0.83000000000000007</v>
      </c>
      <c r="L92" s="4">
        <f t="shared" si="5"/>
        <v>2.0096852300242136</v>
      </c>
    </row>
    <row r="93" spans="1:12" x14ac:dyDescent="0.25">
      <c r="A93" s="3">
        <v>40730</v>
      </c>
      <c r="B93" s="2" t="s">
        <v>112</v>
      </c>
      <c r="C93" s="2">
        <f>C92+1</f>
        <v>932</v>
      </c>
      <c r="D93" s="2">
        <v>1</v>
      </c>
      <c r="E93" s="10">
        <v>73.2</v>
      </c>
      <c r="F93" s="4">
        <v>35.94</v>
      </c>
      <c r="G93" s="4">
        <v>1.01</v>
      </c>
      <c r="H93" s="4">
        <v>5</v>
      </c>
      <c r="I93" s="4">
        <v>1.48</v>
      </c>
      <c r="J93" s="4">
        <v>23.02</v>
      </c>
      <c r="K93" s="4">
        <f t="shared" si="4"/>
        <v>0.47</v>
      </c>
      <c r="L93" s="4">
        <f t="shared" si="5"/>
        <v>2.0417028670721109</v>
      </c>
    </row>
    <row r="94" spans="1:12" x14ac:dyDescent="0.25">
      <c r="A94" s="3">
        <v>40730</v>
      </c>
      <c r="B94" s="2" t="s">
        <v>112</v>
      </c>
      <c r="C94" s="2">
        <f t="shared" ref="C94:C106" si="7">C93+1</f>
        <v>933</v>
      </c>
      <c r="D94" s="2">
        <v>1</v>
      </c>
      <c r="E94" s="10">
        <v>63.6</v>
      </c>
      <c r="F94" s="4">
        <v>29.62</v>
      </c>
      <c r="G94" s="4">
        <v>1</v>
      </c>
      <c r="H94" s="4">
        <v>5.74</v>
      </c>
      <c r="I94" s="4">
        <v>1.48</v>
      </c>
      <c r="J94" s="4">
        <v>19.37</v>
      </c>
      <c r="K94" s="4">
        <f t="shared" si="4"/>
        <v>0.48</v>
      </c>
      <c r="L94" s="4">
        <f t="shared" si="5"/>
        <v>2.4780588538977799</v>
      </c>
    </row>
    <row r="95" spans="1:12" x14ac:dyDescent="0.25">
      <c r="A95" s="3">
        <v>40730</v>
      </c>
      <c r="B95" s="2" t="s">
        <v>112</v>
      </c>
      <c r="C95" s="2">
        <f t="shared" si="7"/>
        <v>934</v>
      </c>
      <c r="D95" s="2">
        <v>1</v>
      </c>
      <c r="E95" s="10">
        <v>82.6</v>
      </c>
      <c r="F95" s="4">
        <v>41.5</v>
      </c>
      <c r="G95" s="4">
        <v>1.02</v>
      </c>
      <c r="H95" s="4">
        <v>6.19</v>
      </c>
      <c r="I95" s="4">
        <v>1.95</v>
      </c>
      <c r="J95" s="4">
        <v>27.94</v>
      </c>
      <c r="K95" s="4">
        <f t="shared" si="4"/>
        <v>0.92999999999999994</v>
      </c>
      <c r="L95" s="4">
        <f t="shared" si="5"/>
        <v>3.3285612025769504</v>
      </c>
    </row>
    <row r="96" spans="1:12" x14ac:dyDescent="0.25">
      <c r="A96" s="3">
        <v>40730</v>
      </c>
      <c r="B96" s="2" t="s">
        <v>112</v>
      </c>
      <c r="C96" s="2">
        <f t="shared" si="7"/>
        <v>935</v>
      </c>
      <c r="D96" s="2">
        <v>1</v>
      </c>
      <c r="E96" s="10">
        <v>69.5</v>
      </c>
      <c r="F96" s="4">
        <v>28.27</v>
      </c>
      <c r="G96" s="4">
        <v>1.01</v>
      </c>
      <c r="H96" s="4">
        <v>5.13</v>
      </c>
      <c r="I96" s="4">
        <v>1.62</v>
      </c>
      <c r="J96" s="4">
        <v>18.010000000000002</v>
      </c>
      <c r="K96" s="4">
        <f t="shared" si="4"/>
        <v>0.6100000000000001</v>
      </c>
      <c r="L96" s="4">
        <f t="shared" si="5"/>
        <v>3.3870072182121049</v>
      </c>
    </row>
    <row r="97" spans="1:12" x14ac:dyDescent="0.25">
      <c r="A97" s="3">
        <v>40730</v>
      </c>
      <c r="B97" s="2" t="s">
        <v>112</v>
      </c>
      <c r="C97" s="2">
        <f t="shared" si="7"/>
        <v>936</v>
      </c>
      <c r="D97" s="2">
        <v>2</v>
      </c>
      <c r="E97" s="10">
        <v>74.8</v>
      </c>
      <c r="F97" s="4">
        <v>61.4</v>
      </c>
      <c r="G97" s="4">
        <v>0.99</v>
      </c>
      <c r="H97" s="4">
        <v>5</v>
      </c>
      <c r="I97" s="4">
        <v>1.29</v>
      </c>
      <c r="J97" s="4">
        <v>40.35</v>
      </c>
      <c r="K97" s="4">
        <f t="shared" si="4"/>
        <v>0.30000000000000004</v>
      </c>
      <c r="L97" s="4">
        <f t="shared" si="5"/>
        <v>0.74349442379182162</v>
      </c>
    </row>
    <row r="98" spans="1:12" x14ac:dyDescent="0.25">
      <c r="A98" s="3">
        <v>40730</v>
      </c>
      <c r="B98" s="2" t="s">
        <v>112</v>
      </c>
      <c r="C98" s="2">
        <f t="shared" si="7"/>
        <v>937</v>
      </c>
      <c r="D98" s="2">
        <v>2</v>
      </c>
      <c r="E98" s="10">
        <v>60.4</v>
      </c>
      <c r="F98" s="4">
        <v>25.22</v>
      </c>
      <c r="G98" s="4">
        <v>0.99</v>
      </c>
      <c r="H98" s="4">
        <v>5.31</v>
      </c>
      <c r="I98" s="4">
        <v>1.59</v>
      </c>
      <c r="J98" s="4">
        <v>16.91</v>
      </c>
      <c r="K98" s="4">
        <f t="shared" si="4"/>
        <v>0.60000000000000009</v>
      </c>
      <c r="L98" s="4">
        <f t="shared" si="5"/>
        <v>3.548196333530456</v>
      </c>
    </row>
    <row r="99" spans="1:12" x14ac:dyDescent="0.25">
      <c r="A99" s="3">
        <v>40730</v>
      </c>
      <c r="B99" s="2" t="s">
        <v>112</v>
      </c>
      <c r="C99" s="2">
        <f t="shared" si="7"/>
        <v>938</v>
      </c>
      <c r="D99" s="2">
        <v>2</v>
      </c>
      <c r="E99" s="10">
        <v>55.3</v>
      </c>
      <c r="F99" s="4">
        <v>32.33</v>
      </c>
      <c r="G99" s="4">
        <v>0.98</v>
      </c>
      <c r="H99" s="4">
        <v>5.65</v>
      </c>
      <c r="I99" s="4">
        <v>1.73</v>
      </c>
      <c r="J99" s="4">
        <v>22</v>
      </c>
      <c r="K99" s="4">
        <f t="shared" si="4"/>
        <v>0.75</v>
      </c>
      <c r="L99" s="4">
        <f t="shared" si="5"/>
        <v>3.4090909090909087</v>
      </c>
    </row>
    <row r="100" spans="1:12" x14ac:dyDescent="0.25">
      <c r="A100" s="3">
        <v>40730</v>
      </c>
      <c r="B100" s="2" t="s">
        <v>112</v>
      </c>
      <c r="C100" s="2">
        <f t="shared" si="7"/>
        <v>939</v>
      </c>
      <c r="D100" s="2">
        <v>2</v>
      </c>
      <c r="E100" s="10">
        <v>58.6</v>
      </c>
      <c r="F100" s="4">
        <v>46.34</v>
      </c>
      <c r="G100" s="4">
        <v>1</v>
      </c>
      <c r="H100" s="4">
        <v>6.27</v>
      </c>
      <c r="I100" s="4">
        <v>1.48</v>
      </c>
      <c r="J100" s="4">
        <v>29.88</v>
      </c>
      <c r="K100" s="4">
        <f t="shared" si="4"/>
        <v>0.48</v>
      </c>
      <c r="L100" s="4">
        <f t="shared" si="5"/>
        <v>1.6064257028112447</v>
      </c>
    </row>
    <row r="101" spans="1:12" x14ac:dyDescent="0.25">
      <c r="A101" s="3">
        <v>40730</v>
      </c>
      <c r="B101" s="2" t="s">
        <v>112</v>
      </c>
      <c r="C101" s="2">
        <f t="shared" si="7"/>
        <v>940</v>
      </c>
      <c r="D101" s="2">
        <v>2</v>
      </c>
      <c r="E101" s="10">
        <v>55.8</v>
      </c>
      <c r="F101" s="4">
        <v>27.5</v>
      </c>
      <c r="G101" s="4">
        <v>1.01</v>
      </c>
      <c r="H101" s="4">
        <v>4.71</v>
      </c>
      <c r="I101" s="4">
        <v>1.57</v>
      </c>
      <c r="J101" s="4">
        <v>18.600000000000001</v>
      </c>
      <c r="K101" s="4">
        <f t="shared" si="4"/>
        <v>0.56000000000000005</v>
      </c>
      <c r="L101" s="4">
        <f t="shared" si="5"/>
        <v>3.010752688172043</v>
      </c>
    </row>
    <row r="102" spans="1:12" x14ac:dyDescent="0.25">
      <c r="A102" s="3">
        <v>40730</v>
      </c>
      <c r="B102" s="2" t="s">
        <v>112</v>
      </c>
      <c r="C102" s="2">
        <f t="shared" si="7"/>
        <v>941</v>
      </c>
      <c r="D102" s="2">
        <v>3</v>
      </c>
      <c r="E102" s="10">
        <v>84.3</v>
      </c>
      <c r="F102" s="4">
        <v>67.989999999999995</v>
      </c>
      <c r="G102" s="4">
        <v>0.99</v>
      </c>
      <c r="H102" s="4">
        <v>8.39</v>
      </c>
      <c r="I102" s="4">
        <v>1.9</v>
      </c>
      <c r="J102" s="4">
        <v>46.67</v>
      </c>
      <c r="K102" s="4">
        <f t="shared" si="4"/>
        <v>0.90999999999999992</v>
      </c>
      <c r="L102" s="4">
        <f t="shared" si="5"/>
        <v>1.9498607242339829</v>
      </c>
    </row>
    <row r="103" spans="1:12" x14ac:dyDescent="0.25">
      <c r="A103" s="3">
        <v>40730</v>
      </c>
      <c r="B103" s="2" t="s">
        <v>112</v>
      </c>
      <c r="C103" s="2">
        <f t="shared" si="7"/>
        <v>942</v>
      </c>
      <c r="D103" s="2">
        <v>3</v>
      </c>
      <c r="E103" s="10">
        <v>69.3</v>
      </c>
      <c r="F103" s="4">
        <v>85.01</v>
      </c>
      <c r="G103" s="4">
        <v>1.01</v>
      </c>
      <c r="H103" s="4">
        <v>9.43</v>
      </c>
      <c r="I103" s="4">
        <v>2</v>
      </c>
      <c r="J103" s="4">
        <v>53.26</v>
      </c>
      <c r="K103" s="4">
        <f t="shared" si="4"/>
        <v>0.99</v>
      </c>
      <c r="L103" s="4">
        <f t="shared" si="5"/>
        <v>1.8588058580548252</v>
      </c>
    </row>
    <row r="104" spans="1:12" x14ac:dyDescent="0.25">
      <c r="A104" s="3">
        <v>40730</v>
      </c>
      <c r="B104" s="2" t="s">
        <v>112</v>
      </c>
      <c r="C104" s="2">
        <f t="shared" si="7"/>
        <v>943</v>
      </c>
      <c r="D104" s="2">
        <v>3</v>
      </c>
      <c r="E104" s="10">
        <v>46.6</v>
      </c>
      <c r="F104" s="4">
        <v>26.87</v>
      </c>
      <c r="G104" s="4">
        <v>0.99</v>
      </c>
      <c r="H104" s="4">
        <v>5.35</v>
      </c>
      <c r="I104" s="4">
        <v>1.53</v>
      </c>
      <c r="J104" s="4">
        <v>17.66</v>
      </c>
      <c r="K104" s="4">
        <f t="shared" si="4"/>
        <v>0.54</v>
      </c>
      <c r="L104" s="4">
        <f t="shared" si="5"/>
        <v>3.057757644394111</v>
      </c>
    </row>
    <row r="105" spans="1:12" x14ac:dyDescent="0.25">
      <c r="A105" s="3">
        <v>40730</v>
      </c>
      <c r="B105" s="2" t="s">
        <v>112</v>
      </c>
      <c r="C105" s="2">
        <f t="shared" si="7"/>
        <v>944</v>
      </c>
      <c r="D105" s="2">
        <v>3</v>
      </c>
      <c r="E105" s="10">
        <v>67.400000000000006</v>
      </c>
      <c r="F105" s="4">
        <v>70.260000000000005</v>
      </c>
      <c r="G105" s="4">
        <v>1.02</v>
      </c>
      <c r="H105" s="4">
        <v>10.8</v>
      </c>
      <c r="I105" s="4">
        <v>1.91</v>
      </c>
      <c r="J105" s="4">
        <v>45.73</v>
      </c>
      <c r="K105" s="4">
        <f t="shared" si="4"/>
        <v>0.8899999999999999</v>
      </c>
      <c r="L105" s="4">
        <f t="shared" si="5"/>
        <v>1.9462059916903565</v>
      </c>
    </row>
    <row r="106" spans="1:12" x14ac:dyDescent="0.25">
      <c r="A106" s="3">
        <v>40730</v>
      </c>
      <c r="B106" s="2" t="s">
        <v>112</v>
      </c>
      <c r="C106" s="2">
        <f t="shared" si="7"/>
        <v>945</v>
      </c>
      <c r="D106" s="2">
        <v>3</v>
      </c>
      <c r="E106" s="10">
        <v>51.8</v>
      </c>
      <c r="F106" s="4">
        <v>29.47</v>
      </c>
      <c r="G106" s="4">
        <v>1</v>
      </c>
      <c r="H106" s="4">
        <v>3.59</v>
      </c>
      <c r="I106" s="4">
        <v>1.33</v>
      </c>
      <c r="J106" s="4">
        <v>22.72</v>
      </c>
      <c r="K106" s="4">
        <f t="shared" si="4"/>
        <v>0.33000000000000007</v>
      </c>
      <c r="L106" s="4">
        <f t="shared" si="5"/>
        <v>1.4524647887323947</v>
      </c>
    </row>
    <row r="107" spans="1:12" x14ac:dyDescent="0.25">
      <c r="A107" s="3">
        <v>40757</v>
      </c>
      <c r="B107" s="2" t="s">
        <v>112</v>
      </c>
      <c r="C107" s="2">
        <v>946</v>
      </c>
      <c r="D107" s="2">
        <v>1</v>
      </c>
      <c r="E107" s="10">
        <v>76.7</v>
      </c>
      <c r="F107" s="4">
        <v>53.26</v>
      </c>
      <c r="G107" s="4">
        <v>1</v>
      </c>
      <c r="H107" s="4">
        <v>12.33</v>
      </c>
      <c r="I107" s="4">
        <v>1.8</v>
      </c>
      <c r="J107" s="4">
        <v>31.46</v>
      </c>
      <c r="K107" s="4">
        <f t="shared" si="4"/>
        <v>0.8</v>
      </c>
      <c r="L107" s="4">
        <f t="shared" si="5"/>
        <v>2.5429116338207249</v>
      </c>
    </row>
    <row r="108" spans="1:12" x14ac:dyDescent="0.25">
      <c r="A108" s="3">
        <v>40757</v>
      </c>
      <c r="B108" s="2" t="s">
        <v>112</v>
      </c>
      <c r="C108" s="2">
        <f>C107+1</f>
        <v>947</v>
      </c>
      <c r="D108" s="2">
        <v>1</v>
      </c>
      <c r="E108" s="10">
        <v>91</v>
      </c>
      <c r="F108" s="4">
        <v>62.95</v>
      </c>
      <c r="G108" s="4">
        <v>1</v>
      </c>
      <c r="H108" s="4">
        <v>11.25</v>
      </c>
      <c r="I108" s="4">
        <v>2.48</v>
      </c>
      <c r="J108" s="4">
        <v>46.27</v>
      </c>
      <c r="K108" s="4">
        <f t="shared" si="4"/>
        <v>1.48</v>
      </c>
      <c r="L108" s="4">
        <f t="shared" si="5"/>
        <v>3.1986168143505509</v>
      </c>
    </row>
    <row r="109" spans="1:12" x14ac:dyDescent="0.25">
      <c r="A109" s="3">
        <v>40757</v>
      </c>
      <c r="B109" s="2" t="s">
        <v>112</v>
      </c>
      <c r="C109" s="2">
        <f t="shared" ref="C109:C121" si="8">C108+1</f>
        <v>948</v>
      </c>
      <c r="D109" s="2">
        <v>1</v>
      </c>
      <c r="E109" s="10">
        <v>92</v>
      </c>
      <c r="F109" s="4">
        <v>97.49</v>
      </c>
      <c r="G109" s="4">
        <v>1</v>
      </c>
      <c r="H109" s="4">
        <v>19.7</v>
      </c>
      <c r="I109" s="4">
        <v>2.4</v>
      </c>
      <c r="J109" s="4">
        <v>59.61</v>
      </c>
      <c r="K109" s="4">
        <f t="shared" si="4"/>
        <v>1.4</v>
      </c>
      <c r="L109" s="4">
        <f t="shared" si="5"/>
        <v>2.3485992283173962</v>
      </c>
    </row>
    <row r="110" spans="1:12" x14ac:dyDescent="0.25">
      <c r="A110" s="3">
        <v>40757</v>
      </c>
      <c r="B110" s="2" t="s">
        <v>112</v>
      </c>
      <c r="C110" s="2">
        <f t="shared" si="8"/>
        <v>949</v>
      </c>
      <c r="D110" s="2">
        <v>1</v>
      </c>
      <c r="E110" s="10">
        <v>76.8</v>
      </c>
      <c r="F110" s="4">
        <v>41.4</v>
      </c>
      <c r="G110" s="4">
        <v>1</v>
      </c>
      <c r="H110" s="4">
        <v>8.73</v>
      </c>
      <c r="I110" s="4">
        <v>1.86</v>
      </c>
      <c r="J110" s="4">
        <v>27.7</v>
      </c>
      <c r="K110" s="4">
        <f t="shared" si="4"/>
        <v>0.8600000000000001</v>
      </c>
      <c r="L110" s="4">
        <f t="shared" si="5"/>
        <v>3.1046931407942244</v>
      </c>
    </row>
    <row r="111" spans="1:12" x14ac:dyDescent="0.25">
      <c r="A111" s="3">
        <v>40757</v>
      </c>
      <c r="B111" s="2" t="s">
        <v>112</v>
      </c>
      <c r="C111" s="2">
        <f t="shared" si="8"/>
        <v>950</v>
      </c>
      <c r="D111" s="2">
        <v>1</v>
      </c>
      <c r="E111" s="10">
        <v>94.8</v>
      </c>
      <c r="F111" s="4">
        <v>74.97</v>
      </c>
      <c r="G111" s="4">
        <v>1</v>
      </c>
      <c r="H111" s="4">
        <v>18.13</v>
      </c>
      <c r="I111" s="4">
        <v>2.2999999999999998</v>
      </c>
      <c r="J111" s="4">
        <v>43.52</v>
      </c>
      <c r="K111" s="4">
        <f t="shared" si="4"/>
        <v>1.2999999999999998</v>
      </c>
      <c r="L111" s="4">
        <f t="shared" si="5"/>
        <v>2.9871323529411757</v>
      </c>
    </row>
    <row r="112" spans="1:12" x14ac:dyDescent="0.25">
      <c r="A112" s="3">
        <v>40757</v>
      </c>
      <c r="B112" s="2" t="s">
        <v>112</v>
      </c>
      <c r="C112" s="2">
        <f t="shared" si="8"/>
        <v>951</v>
      </c>
      <c r="D112" s="2">
        <v>2</v>
      </c>
      <c r="E112" s="10">
        <v>60</v>
      </c>
      <c r="F112" s="4">
        <v>36.58</v>
      </c>
      <c r="G112" s="4">
        <v>1</v>
      </c>
      <c r="H112" s="4">
        <v>7.96</v>
      </c>
      <c r="I112" s="4">
        <v>1.64</v>
      </c>
      <c r="J112" s="4">
        <v>25.36</v>
      </c>
      <c r="K112" s="4">
        <f t="shared" si="4"/>
        <v>0.6399999999999999</v>
      </c>
      <c r="L112" s="4">
        <f t="shared" si="5"/>
        <v>2.5236593059936903</v>
      </c>
    </row>
    <row r="113" spans="1:12" x14ac:dyDescent="0.25">
      <c r="A113" s="3">
        <v>40757</v>
      </c>
      <c r="B113" s="2" t="s">
        <v>112</v>
      </c>
      <c r="C113" s="2">
        <f t="shared" si="8"/>
        <v>952</v>
      </c>
      <c r="D113" s="2">
        <v>2</v>
      </c>
      <c r="E113" s="10">
        <v>54.4</v>
      </c>
      <c r="F113" s="4">
        <v>48.83</v>
      </c>
      <c r="G113" s="4">
        <v>1</v>
      </c>
      <c r="H113" s="4">
        <v>10.33</v>
      </c>
      <c r="I113" s="4">
        <v>1.9</v>
      </c>
      <c r="J113" s="4">
        <v>32.909999999999997</v>
      </c>
      <c r="K113" s="4">
        <f t="shared" si="4"/>
        <v>0.89999999999999991</v>
      </c>
      <c r="L113" s="4">
        <f t="shared" si="5"/>
        <v>2.7347310847766639</v>
      </c>
    </row>
    <row r="114" spans="1:12" x14ac:dyDescent="0.25">
      <c r="A114" s="3">
        <v>40757</v>
      </c>
      <c r="B114" s="2" t="s">
        <v>112</v>
      </c>
      <c r="C114" s="2">
        <f t="shared" si="8"/>
        <v>953</v>
      </c>
      <c r="D114" s="2">
        <v>2</v>
      </c>
      <c r="E114" s="10">
        <v>67.7</v>
      </c>
      <c r="F114" s="4">
        <v>48.59</v>
      </c>
      <c r="G114" s="4">
        <v>1.01</v>
      </c>
      <c r="H114" s="4">
        <v>7.88</v>
      </c>
      <c r="I114" s="4">
        <v>1.49</v>
      </c>
      <c r="J114" s="4">
        <v>34.6</v>
      </c>
      <c r="K114" s="4">
        <f t="shared" si="4"/>
        <v>0.48</v>
      </c>
      <c r="L114" s="4">
        <f t="shared" si="5"/>
        <v>1.3872832369942194</v>
      </c>
    </row>
    <row r="115" spans="1:12" x14ac:dyDescent="0.25">
      <c r="A115" s="3">
        <v>40757</v>
      </c>
      <c r="B115" s="2" t="s">
        <v>112</v>
      </c>
      <c r="C115" s="2">
        <f t="shared" si="8"/>
        <v>954</v>
      </c>
      <c r="D115" s="2">
        <v>2</v>
      </c>
      <c r="E115" s="10">
        <v>42</v>
      </c>
      <c r="F115" s="4">
        <v>21.29</v>
      </c>
      <c r="G115" s="4">
        <v>1.01</v>
      </c>
      <c r="H115" s="4">
        <v>3.96</v>
      </c>
      <c r="I115" s="4">
        <v>1.42</v>
      </c>
      <c r="J115" s="4">
        <v>15.04</v>
      </c>
      <c r="K115" s="4">
        <f t="shared" si="4"/>
        <v>0.40999999999999992</v>
      </c>
      <c r="L115" s="4">
        <f t="shared" si="5"/>
        <v>2.7260638297872339</v>
      </c>
    </row>
    <row r="116" spans="1:12" x14ac:dyDescent="0.25">
      <c r="A116" s="3">
        <v>40757</v>
      </c>
      <c r="B116" s="2" t="s">
        <v>112</v>
      </c>
      <c r="C116" s="2">
        <f t="shared" si="8"/>
        <v>955</v>
      </c>
      <c r="D116" s="2">
        <v>2</v>
      </c>
      <c r="E116" s="10">
        <v>46.7</v>
      </c>
      <c r="F116" s="4">
        <v>15.8</v>
      </c>
      <c r="G116" s="4">
        <v>1.01</v>
      </c>
      <c r="H116" s="4">
        <v>2.77</v>
      </c>
      <c r="I116" s="4">
        <v>1.26</v>
      </c>
      <c r="J116" s="4">
        <v>11.77</v>
      </c>
      <c r="K116" s="4">
        <f t="shared" si="4"/>
        <v>0.25</v>
      </c>
      <c r="L116" s="4">
        <f t="shared" si="5"/>
        <v>2.1240441801189465</v>
      </c>
    </row>
    <row r="117" spans="1:12" x14ac:dyDescent="0.25">
      <c r="A117" s="3">
        <v>40757</v>
      </c>
      <c r="B117" s="2" t="s">
        <v>112</v>
      </c>
      <c r="C117" s="2">
        <f t="shared" si="8"/>
        <v>956</v>
      </c>
      <c r="D117" s="2">
        <v>3</v>
      </c>
      <c r="E117" s="10">
        <v>82.9</v>
      </c>
      <c r="F117" s="4">
        <v>66.209999999999994</v>
      </c>
      <c r="G117" s="4">
        <v>1</v>
      </c>
      <c r="H117" s="4">
        <v>8.43</v>
      </c>
      <c r="I117" s="4">
        <v>1.65</v>
      </c>
      <c r="J117" s="4">
        <v>42.15</v>
      </c>
      <c r="K117" s="4">
        <f t="shared" si="4"/>
        <v>0.64999999999999991</v>
      </c>
      <c r="L117" s="4">
        <f t="shared" si="5"/>
        <v>1.5421115065243178</v>
      </c>
    </row>
    <row r="118" spans="1:12" x14ac:dyDescent="0.25">
      <c r="A118" s="3">
        <v>40757</v>
      </c>
      <c r="B118" s="2" t="s">
        <v>112</v>
      </c>
      <c r="C118" s="2">
        <f t="shared" si="8"/>
        <v>957</v>
      </c>
      <c r="D118" s="2">
        <v>3</v>
      </c>
      <c r="E118" s="10">
        <v>57.8</v>
      </c>
      <c r="F118" s="4">
        <v>44</v>
      </c>
      <c r="G118" s="4">
        <v>1.02</v>
      </c>
      <c r="H118" s="4">
        <v>7.42</v>
      </c>
      <c r="I118" s="4">
        <v>1.63</v>
      </c>
      <c r="J118" s="4">
        <v>30.89</v>
      </c>
      <c r="K118" s="4">
        <f t="shared" si="4"/>
        <v>0.60999999999999988</v>
      </c>
      <c r="L118" s="4">
        <f t="shared" si="5"/>
        <v>1.9747491097442533</v>
      </c>
    </row>
    <row r="119" spans="1:12" x14ac:dyDescent="0.25">
      <c r="A119" s="3">
        <v>40757</v>
      </c>
      <c r="B119" s="2" t="s">
        <v>112</v>
      </c>
      <c r="C119" s="2">
        <f t="shared" si="8"/>
        <v>958</v>
      </c>
      <c r="D119" s="2">
        <v>3</v>
      </c>
      <c r="E119" s="10">
        <v>50.4</v>
      </c>
      <c r="F119" s="4">
        <v>42.15</v>
      </c>
      <c r="G119" s="4">
        <v>1</v>
      </c>
      <c r="H119" s="4">
        <v>9.42</v>
      </c>
      <c r="I119" s="4">
        <v>1.71</v>
      </c>
      <c r="J119" s="4">
        <v>28.64</v>
      </c>
      <c r="K119" s="4">
        <f t="shared" si="4"/>
        <v>0.71</v>
      </c>
      <c r="L119" s="4">
        <f t="shared" si="5"/>
        <v>2.4790502793296088</v>
      </c>
    </row>
    <row r="120" spans="1:12" x14ac:dyDescent="0.25">
      <c r="A120" s="3">
        <v>40757</v>
      </c>
      <c r="B120" s="2" t="s">
        <v>112</v>
      </c>
      <c r="C120" s="2">
        <f t="shared" si="8"/>
        <v>959</v>
      </c>
      <c r="D120" s="2">
        <v>3</v>
      </c>
      <c r="E120" s="10">
        <v>52.1</v>
      </c>
      <c r="F120" s="4">
        <v>54.43</v>
      </c>
      <c r="G120" s="4">
        <v>0.99</v>
      </c>
      <c r="H120" s="4">
        <v>7.64</v>
      </c>
      <c r="I120" s="4">
        <v>1.64</v>
      </c>
      <c r="J120" s="4">
        <v>40.78</v>
      </c>
      <c r="K120" s="4">
        <f t="shared" si="4"/>
        <v>0.64999999999999991</v>
      </c>
      <c r="L120" s="4">
        <f t="shared" si="5"/>
        <v>1.5939185875429129</v>
      </c>
    </row>
    <row r="121" spans="1:12" x14ac:dyDescent="0.25">
      <c r="A121" s="3">
        <v>40757</v>
      </c>
      <c r="B121" s="2" t="s">
        <v>112</v>
      </c>
      <c r="C121" s="2">
        <f t="shared" si="8"/>
        <v>960</v>
      </c>
      <c r="D121" s="2">
        <v>3</v>
      </c>
      <c r="E121" s="10">
        <v>74</v>
      </c>
      <c r="F121" s="4">
        <v>37.31</v>
      </c>
      <c r="G121" s="4">
        <v>1</v>
      </c>
      <c r="H121" s="4">
        <v>4.9800000000000004</v>
      </c>
      <c r="I121" s="4">
        <v>1.84</v>
      </c>
      <c r="J121" s="4">
        <v>26.25</v>
      </c>
      <c r="K121" s="4">
        <f t="shared" si="4"/>
        <v>0.84000000000000008</v>
      </c>
      <c r="L121" s="4">
        <f t="shared" si="5"/>
        <v>3.2</v>
      </c>
    </row>
    <row r="122" spans="1:12" x14ac:dyDescent="0.25">
      <c r="A122" s="3">
        <v>40793</v>
      </c>
      <c r="B122" s="2" t="s">
        <v>112</v>
      </c>
      <c r="C122" s="2">
        <v>961</v>
      </c>
      <c r="D122" s="2">
        <v>1</v>
      </c>
      <c r="E122" s="10">
        <v>65</v>
      </c>
      <c r="F122" s="4">
        <v>32.25</v>
      </c>
      <c r="G122" s="4">
        <v>0.98</v>
      </c>
      <c r="H122" s="4">
        <v>7.02</v>
      </c>
      <c r="I122" s="4">
        <v>1.5</v>
      </c>
      <c r="J122" s="4">
        <v>19</v>
      </c>
      <c r="K122" s="4">
        <f t="shared" si="4"/>
        <v>0.52</v>
      </c>
      <c r="L122" s="4">
        <f t="shared" si="5"/>
        <v>2.736842105263158</v>
      </c>
    </row>
    <row r="123" spans="1:12" x14ac:dyDescent="0.25">
      <c r="A123" s="3">
        <v>40793</v>
      </c>
      <c r="B123" s="2" t="s">
        <v>112</v>
      </c>
      <c r="C123" s="2">
        <v>962</v>
      </c>
      <c r="D123" s="2">
        <v>1</v>
      </c>
      <c r="E123" s="10">
        <v>76.099999999999994</v>
      </c>
      <c r="F123" s="4">
        <v>71.77</v>
      </c>
      <c r="G123" s="4">
        <v>1</v>
      </c>
      <c r="H123" s="4">
        <v>13.24</v>
      </c>
      <c r="I123" s="4">
        <v>1.46</v>
      </c>
      <c r="J123" s="4">
        <v>45.9</v>
      </c>
      <c r="K123" s="4">
        <f t="shared" si="4"/>
        <v>0.45999999999999996</v>
      </c>
      <c r="L123" s="4">
        <f t="shared" si="5"/>
        <v>1.0021786492374727</v>
      </c>
    </row>
    <row r="124" spans="1:12" x14ac:dyDescent="0.25">
      <c r="A124" s="3">
        <v>40793</v>
      </c>
      <c r="B124" s="2" t="s">
        <v>112</v>
      </c>
      <c r="C124" s="2">
        <v>963</v>
      </c>
      <c r="D124" s="2">
        <v>1</v>
      </c>
      <c r="E124" s="10">
        <v>74.2</v>
      </c>
      <c r="F124" s="4">
        <v>46.06</v>
      </c>
      <c r="G124" s="4">
        <v>0.99</v>
      </c>
      <c r="H124" s="4">
        <v>8.3800000000000008</v>
      </c>
      <c r="I124" s="4">
        <v>1.54</v>
      </c>
      <c r="J124" s="4">
        <v>28.95</v>
      </c>
      <c r="K124" s="4">
        <f t="shared" si="4"/>
        <v>0.55000000000000004</v>
      </c>
      <c r="L124" s="4">
        <f t="shared" si="5"/>
        <v>1.8998272884283247</v>
      </c>
    </row>
    <row r="125" spans="1:12" x14ac:dyDescent="0.25">
      <c r="A125" s="3">
        <v>40793</v>
      </c>
      <c r="B125" s="2" t="s">
        <v>112</v>
      </c>
      <c r="C125" s="2">
        <v>964</v>
      </c>
      <c r="D125" s="2">
        <v>1</v>
      </c>
      <c r="E125" s="10">
        <v>44.3</v>
      </c>
      <c r="F125" s="4">
        <v>23.3</v>
      </c>
      <c r="G125" s="4">
        <v>1.01</v>
      </c>
      <c r="H125" s="4">
        <v>5.4</v>
      </c>
      <c r="I125" s="4">
        <v>1.33</v>
      </c>
      <c r="J125" s="4">
        <v>14.95</v>
      </c>
      <c r="K125" s="4">
        <f t="shared" si="4"/>
        <v>0.32000000000000006</v>
      </c>
      <c r="L125" s="4">
        <f t="shared" si="5"/>
        <v>2.14046822742475</v>
      </c>
    </row>
    <row r="126" spans="1:12" x14ac:dyDescent="0.25">
      <c r="A126" s="3">
        <v>40793</v>
      </c>
      <c r="B126" s="2" t="s">
        <v>112</v>
      </c>
      <c r="C126" s="2">
        <v>965</v>
      </c>
      <c r="D126" s="2">
        <v>1</v>
      </c>
      <c r="E126" s="10">
        <v>81.7</v>
      </c>
      <c r="F126" s="4">
        <v>39.130000000000003</v>
      </c>
      <c r="G126" s="4">
        <v>1</v>
      </c>
      <c r="H126" s="4">
        <v>6.39</v>
      </c>
      <c r="I126" s="4">
        <v>1.45</v>
      </c>
      <c r="J126" s="4">
        <v>24.96</v>
      </c>
      <c r="K126" s="4">
        <f t="shared" si="4"/>
        <v>0.44999999999999996</v>
      </c>
      <c r="L126" s="4">
        <f t="shared" si="5"/>
        <v>1.8028846153846152</v>
      </c>
    </row>
    <row r="127" spans="1:12" x14ac:dyDescent="0.25">
      <c r="A127" s="3">
        <v>40793</v>
      </c>
      <c r="B127" s="2" t="s">
        <v>112</v>
      </c>
      <c r="C127" s="2">
        <v>966</v>
      </c>
      <c r="D127" s="2">
        <v>2</v>
      </c>
      <c r="E127" s="10">
        <v>85.7</v>
      </c>
      <c r="F127" s="4">
        <v>74.790000000000006</v>
      </c>
      <c r="G127" s="4">
        <v>0.98</v>
      </c>
      <c r="H127" s="4">
        <v>11.77</v>
      </c>
      <c r="I127" s="4">
        <v>1.88</v>
      </c>
      <c r="J127" s="4">
        <v>50.29</v>
      </c>
      <c r="K127" s="4">
        <f t="shared" si="4"/>
        <v>0.89999999999999991</v>
      </c>
      <c r="L127" s="4">
        <f t="shared" si="5"/>
        <v>1.789620202823623</v>
      </c>
    </row>
    <row r="128" spans="1:12" x14ac:dyDescent="0.25">
      <c r="A128" s="3">
        <v>40793</v>
      </c>
      <c r="B128" s="2" t="s">
        <v>112</v>
      </c>
      <c r="C128" s="2">
        <v>967</v>
      </c>
      <c r="D128" s="2">
        <v>2</v>
      </c>
      <c r="E128" s="10">
        <v>98.7</v>
      </c>
      <c r="F128" s="4">
        <v>62.07</v>
      </c>
      <c r="G128" s="4">
        <v>0.98</v>
      </c>
      <c r="H128" s="4">
        <v>5.53</v>
      </c>
      <c r="I128" s="4">
        <v>1.39</v>
      </c>
      <c r="J128" s="4">
        <v>46.82</v>
      </c>
      <c r="K128" s="4">
        <f t="shared" si="4"/>
        <v>0.40999999999999992</v>
      </c>
      <c r="L128" s="4">
        <f t="shared" si="5"/>
        <v>0.87569414780008537</v>
      </c>
    </row>
    <row r="129" spans="1:12" x14ac:dyDescent="0.25">
      <c r="A129" s="3">
        <v>40793</v>
      </c>
      <c r="B129" s="2" t="s">
        <v>112</v>
      </c>
      <c r="C129" s="2">
        <v>968</v>
      </c>
      <c r="D129" s="2">
        <v>2</v>
      </c>
      <c r="E129" s="10">
        <v>97.6</v>
      </c>
      <c r="F129" s="4">
        <v>97.11</v>
      </c>
      <c r="G129" s="4">
        <v>1</v>
      </c>
      <c r="H129" s="4">
        <v>12.82</v>
      </c>
      <c r="I129" s="4">
        <v>2.0499999999999998</v>
      </c>
      <c r="J129" s="4">
        <v>54.94</v>
      </c>
      <c r="K129" s="4">
        <f t="shared" si="4"/>
        <v>1.0499999999999998</v>
      </c>
      <c r="L129" s="4">
        <f t="shared" si="5"/>
        <v>1.9111758281761919</v>
      </c>
    </row>
    <row r="130" spans="1:12" x14ac:dyDescent="0.25">
      <c r="A130" s="3">
        <v>40793</v>
      </c>
      <c r="B130" s="2" t="s">
        <v>112</v>
      </c>
      <c r="C130" s="2">
        <v>969</v>
      </c>
      <c r="D130" s="2">
        <v>2</v>
      </c>
      <c r="E130" s="10">
        <v>67.2</v>
      </c>
      <c r="F130" s="4">
        <v>34.96</v>
      </c>
      <c r="G130" s="4">
        <v>1.01</v>
      </c>
      <c r="H130" s="4">
        <v>7.23</v>
      </c>
      <c r="I130" s="4">
        <v>1.68</v>
      </c>
      <c r="J130" s="4">
        <v>23.62</v>
      </c>
      <c r="K130" s="4">
        <f t="shared" ref="K130:K181" si="9">I130-G130</f>
        <v>0.66999999999999993</v>
      </c>
      <c r="L130" s="4">
        <f t="shared" ref="L130:L181" si="10">(K130/J130)*100</f>
        <v>2.8365791701947498</v>
      </c>
    </row>
    <row r="131" spans="1:12" x14ac:dyDescent="0.25">
      <c r="A131" s="3">
        <v>40793</v>
      </c>
      <c r="B131" s="2" t="s">
        <v>112</v>
      </c>
      <c r="C131" s="2">
        <v>970</v>
      </c>
      <c r="D131" s="2">
        <v>2</v>
      </c>
      <c r="E131" s="10">
        <v>56.1</v>
      </c>
      <c r="F131" s="4">
        <v>42.56</v>
      </c>
      <c r="G131" s="4">
        <v>1</v>
      </c>
      <c r="H131" s="4">
        <v>6.4</v>
      </c>
      <c r="I131" s="4">
        <v>1.52</v>
      </c>
      <c r="J131" s="4">
        <v>31.99</v>
      </c>
      <c r="K131" s="4">
        <f t="shared" si="9"/>
        <v>0.52</v>
      </c>
      <c r="L131" s="4">
        <f t="shared" si="10"/>
        <v>1.625507971241013</v>
      </c>
    </row>
    <row r="132" spans="1:12" x14ac:dyDescent="0.25">
      <c r="A132" s="3">
        <v>40793</v>
      </c>
      <c r="B132" s="2" t="s">
        <v>112</v>
      </c>
      <c r="C132" s="2">
        <v>971</v>
      </c>
      <c r="D132" s="2">
        <v>3</v>
      </c>
      <c r="E132" s="10">
        <v>77.5</v>
      </c>
      <c r="F132" s="4">
        <v>61.32</v>
      </c>
      <c r="G132" s="4">
        <v>0.97</v>
      </c>
      <c r="H132" s="4">
        <v>8.19</v>
      </c>
      <c r="I132" s="4">
        <v>1.39</v>
      </c>
      <c r="J132" s="4">
        <v>44.41</v>
      </c>
      <c r="K132" s="4">
        <f t="shared" si="9"/>
        <v>0.41999999999999993</v>
      </c>
      <c r="L132" s="4">
        <f t="shared" si="10"/>
        <v>0.94573294303084887</v>
      </c>
    </row>
    <row r="133" spans="1:12" x14ac:dyDescent="0.25">
      <c r="A133" s="3">
        <v>40793</v>
      </c>
      <c r="B133" s="2" t="s">
        <v>112</v>
      </c>
      <c r="C133" s="2">
        <v>972</v>
      </c>
      <c r="D133" s="2">
        <v>3</v>
      </c>
      <c r="E133" s="10">
        <v>63.7</v>
      </c>
      <c r="F133" s="4">
        <v>25.73</v>
      </c>
      <c r="G133" s="4">
        <v>0.98</v>
      </c>
      <c r="H133" s="4">
        <v>5.2</v>
      </c>
      <c r="I133" s="4">
        <v>1.24</v>
      </c>
      <c r="J133" s="4">
        <v>17.16</v>
      </c>
      <c r="K133" s="4">
        <f t="shared" si="9"/>
        <v>0.26</v>
      </c>
      <c r="L133" s="4">
        <f t="shared" si="10"/>
        <v>1.5151515151515151</v>
      </c>
    </row>
    <row r="134" spans="1:12" x14ac:dyDescent="0.25">
      <c r="A134" s="3">
        <v>40793</v>
      </c>
      <c r="B134" s="2" t="s">
        <v>112</v>
      </c>
      <c r="C134" s="2">
        <v>973</v>
      </c>
      <c r="D134" s="2">
        <v>3</v>
      </c>
      <c r="E134" s="10">
        <v>79.2</v>
      </c>
      <c r="F134" s="4">
        <v>60.15</v>
      </c>
      <c r="G134" s="4">
        <v>0.99</v>
      </c>
      <c r="H134" s="4">
        <v>10.77</v>
      </c>
      <c r="I134" s="4">
        <v>1.63</v>
      </c>
      <c r="J134" s="4">
        <v>36.409999999999997</v>
      </c>
      <c r="K134" s="4">
        <f t="shared" si="9"/>
        <v>0.6399999999999999</v>
      </c>
      <c r="L134" s="4">
        <f t="shared" si="10"/>
        <v>1.7577588574567427</v>
      </c>
    </row>
    <row r="135" spans="1:12" x14ac:dyDescent="0.25">
      <c r="A135" s="3">
        <v>40793</v>
      </c>
      <c r="B135" s="2" t="s">
        <v>112</v>
      </c>
      <c r="C135" s="2">
        <v>974</v>
      </c>
      <c r="D135" s="2">
        <v>3</v>
      </c>
      <c r="E135" s="10">
        <v>68</v>
      </c>
      <c r="F135" s="4">
        <v>56.13</v>
      </c>
      <c r="G135" s="4">
        <v>0.98</v>
      </c>
      <c r="H135" s="4">
        <v>8</v>
      </c>
      <c r="I135" s="4">
        <v>1.52</v>
      </c>
      <c r="J135" s="4">
        <v>38.119999999999997</v>
      </c>
      <c r="K135" s="4">
        <f t="shared" si="9"/>
        <v>0.54</v>
      </c>
      <c r="L135" s="4">
        <f t="shared" si="10"/>
        <v>1.4165792235047221</v>
      </c>
    </row>
    <row r="136" spans="1:12" x14ac:dyDescent="0.25">
      <c r="A136" s="3">
        <v>40793</v>
      </c>
      <c r="B136" s="2" t="s">
        <v>112</v>
      </c>
      <c r="C136" s="2">
        <v>975</v>
      </c>
      <c r="D136" s="2">
        <v>3</v>
      </c>
      <c r="E136" s="10">
        <v>80.5</v>
      </c>
      <c r="F136" s="4">
        <v>99.87</v>
      </c>
      <c r="G136" s="4">
        <v>1</v>
      </c>
      <c r="H136" s="4">
        <v>13.94</v>
      </c>
      <c r="I136" s="4">
        <v>1.88</v>
      </c>
      <c r="J136" s="4">
        <v>61.31</v>
      </c>
      <c r="K136" s="4">
        <f t="shared" si="9"/>
        <v>0.87999999999999989</v>
      </c>
      <c r="L136" s="4">
        <f t="shared" si="10"/>
        <v>1.4353286576414939</v>
      </c>
    </row>
    <row r="137" spans="1:12" x14ac:dyDescent="0.25">
      <c r="A137" s="3">
        <v>40821</v>
      </c>
      <c r="B137" s="2" t="s">
        <v>112</v>
      </c>
      <c r="C137" s="2">
        <v>976</v>
      </c>
      <c r="D137" s="2">
        <v>1</v>
      </c>
      <c r="E137" s="10">
        <v>82.4</v>
      </c>
      <c r="F137" s="4">
        <v>69.23</v>
      </c>
      <c r="G137" s="4">
        <v>1</v>
      </c>
      <c r="H137" s="4">
        <v>7.79</v>
      </c>
      <c r="I137" s="4">
        <v>1.62</v>
      </c>
      <c r="J137" s="4">
        <v>44.59</v>
      </c>
      <c r="K137" s="4">
        <f t="shared" si="9"/>
        <v>0.62000000000000011</v>
      </c>
      <c r="L137" s="4">
        <f t="shared" si="10"/>
        <v>1.3904462884054722</v>
      </c>
    </row>
    <row r="138" spans="1:12" x14ac:dyDescent="0.25">
      <c r="A138" s="3">
        <v>40821</v>
      </c>
      <c r="B138" s="2" t="s">
        <v>112</v>
      </c>
      <c r="C138" s="2">
        <v>977</v>
      </c>
      <c r="D138" s="2">
        <v>1</v>
      </c>
      <c r="E138" s="10">
        <v>69.400000000000006</v>
      </c>
      <c r="F138" s="4">
        <v>52.71</v>
      </c>
      <c r="G138" s="4">
        <v>1.05</v>
      </c>
      <c r="H138" s="4">
        <v>7.68</v>
      </c>
      <c r="I138" s="4">
        <v>1.69</v>
      </c>
      <c r="J138" s="4">
        <v>33.479999999999997</v>
      </c>
      <c r="K138" s="4">
        <f t="shared" si="9"/>
        <v>0.6399999999999999</v>
      </c>
      <c r="L138" s="4">
        <f t="shared" si="10"/>
        <v>1.9115890083632019</v>
      </c>
    </row>
    <row r="139" spans="1:12" x14ac:dyDescent="0.25">
      <c r="A139" s="3">
        <v>40821</v>
      </c>
      <c r="B139" s="2" t="s">
        <v>112</v>
      </c>
      <c r="C139" s="2">
        <v>978</v>
      </c>
      <c r="D139" s="2">
        <v>1</v>
      </c>
      <c r="E139" s="10">
        <v>82.1</v>
      </c>
      <c r="F139" s="4">
        <v>53.08</v>
      </c>
      <c r="G139" s="4">
        <v>0.98</v>
      </c>
      <c r="H139" s="4">
        <v>7.36</v>
      </c>
      <c r="I139" s="4">
        <v>1.62</v>
      </c>
      <c r="J139" s="4">
        <v>34.33</v>
      </c>
      <c r="K139" s="4">
        <f t="shared" si="9"/>
        <v>0.64000000000000012</v>
      </c>
      <c r="L139" s="4">
        <f t="shared" si="10"/>
        <v>1.8642586658898928</v>
      </c>
    </row>
    <row r="140" spans="1:12" x14ac:dyDescent="0.25">
      <c r="A140" s="3">
        <v>40821</v>
      </c>
      <c r="B140" s="2" t="s">
        <v>112</v>
      </c>
      <c r="C140" s="2">
        <v>979</v>
      </c>
      <c r="D140" s="2">
        <v>1</v>
      </c>
      <c r="E140" s="10">
        <v>71.8</v>
      </c>
      <c r="F140" s="4">
        <v>54.2</v>
      </c>
      <c r="G140" s="4">
        <v>0.98</v>
      </c>
      <c r="H140" s="4">
        <v>9</v>
      </c>
      <c r="I140" s="4">
        <v>1.55</v>
      </c>
      <c r="J140" s="4">
        <v>30.05</v>
      </c>
      <c r="K140" s="4">
        <f t="shared" si="9"/>
        <v>0.57000000000000006</v>
      </c>
      <c r="L140" s="4">
        <f t="shared" si="10"/>
        <v>1.8968386023294512</v>
      </c>
    </row>
    <row r="141" spans="1:12" x14ac:dyDescent="0.25">
      <c r="A141" s="3">
        <v>40821</v>
      </c>
      <c r="B141" s="2" t="s">
        <v>112</v>
      </c>
      <c r="C141" s="2">
        <v>980</v>
      </c>
      <c r="D141" s="2">
        <v>1</v>
      </c>
      <c r="E141" s="10">
        <v>68.599999999999994</v>
      </c>
      <c r="F141" s="4">
        <v>43.12</v>
      </c>
      <c r="G141" s="4">
        <v>0.99</v>
      </c>
      <c r="H141" s="4">
        <v>6.43</v>
      </c>
      <c r="I141" s="4">
        <v>1.49</v>
      </c>
      <c r="J141" s="4">
        <v>27.13</v>
      </c>
      <c r="K141" s="4">
        <f t="shared" si="9"/>
        <v>0.5</v>
      </c>
      <c r="L141" s="4">
        <f t="shared" si="10"/>
        <v>1.8429782528566165</v>
      </c>
    </row>
    <row r="142" spans="1:12" x14ac:dyDescent="0.25">
      <c r="A142" s="3">
        <v>40821</v>
      </c>
      <c r="B142" s="2" t="s">
        <v>112</v>
      </c>
      <c r="C142" s="2">
        <v>981</v>
      </c>
      <c r="D142" s="2">
        <v>2</v>
      </c>
      <c r="E142" s="10">
        <v>87.1</v>
      </c>
      <c r="F142" s="4">
        <v>130.46</v>
      </c>
      <c r="G142" s="4">
        <v>1.03</v>
      </c>
      <c r="H142" s="4">
        <v>12.12</v>
      </c>
      <c r="I142" s="4">
        <v>1.88</v>
      </c>
      <c r="J142" s="4">
        <v>88.22</v>
      </c>
      <c r="K142" s="4">
        <f t="shared" si="9"/>
        <v>0.84999999999999987</v>
      </c>
      <c r="L142" s="4">
        <f t="shared" si="10"/>
        <v>0.96350034005894347</v>
      </c>
    </row>
    <row r="143" spans="1:12" x14ac:dyDescent="0.25">
      <c r="A143" s="3">
        <v>40821</v>
      </c>
      <c r="B143" s="2" t="s">
        <v>112</v>
      </c>
      <c r="C143" s="2">
        <v>982</v>
      </c>
      <c r="D143" s="2">
        <v>2</v>
      </c>
      <c r="E143" s="10">
        <v>82.7</v>
      </c>
      <c r="F143" s="4">
        <v>95.67</v>
      </c>
      <c r="G143" s="4">
        <v>1</v>
      </c>
      <c r="H143" s="4">
        <v>8.7899999999999991</v>
      </c>
      <c r="I143" s="4">
        <v>1.7</v>
      </c>
      <c r="J143" s="4">
        <v>62.08</v>
      </c>
      <c r="K143" s="4">
        <f t="shared" si="9"/>
        <v>0.7</v>
      </c>
      <c r="L143" s="4">
        <f t="shared" si="10"/>
        <v>1.1275773195876289</v>
      </c>
    </row>
    <row r="144" spans="1:12" x14ac:dyDescent="0.25">
      <c r="A144" s="3">
        <v>40821</v>
      </c>
      <c r="B144" s="2" t="s">
        <v>112</v>
      </c>
      <c r="C144" s="2">
        <v>983</v>
      </c>
      <c r="D144" s="2">
        <v>2</v>
      </c>
      <c r="E144" s="10">
        <v>77.400000000000006</v>
      </c>
      <c r="F144" s="4">
        <v>74.36</v>
      </c>
      <c r="G144" s="4">
        <v>0.99</v>
      </c>
      <c r="H144" s="4">
        <v>8.43</v>
      </c>
      <c r="I144" s="4">
        <v>1.61</v>
      </c>
      <c r="J144" s="4">
        <v>55.27</v>
      </c>
      <c r="K144" s="4">
        <f t="shared" si="9"/>
        <v>0.62000000000000011</v>
      </c>
      <c r="L144" s="4">
        <f t="shared" si="10"/>
        <v>1.1217658766057537</v>
      </c>
    </row>
    <row r="145" spans="1:12" x14ac:dyDescent="0.25">
      <c r="A145" s="3">
        <v>40821</v>
      </c>
      <c r="B145" s="2" t="s">
        <v>112</v>
      </c>
      <c r="C145" s="2">
        <v>984</v>
      </c>
      <c r="D145" s="2">
        <v>2</v>
      </c>
      <c r="E145" s="10">
        <v>88.3</v>
      </c>
      <c r="F145" s="4">
        <v>123.2</v>
      </c>
      <c r="G145" s="4">
        <v>1</v>
      </c>
      <c r="H145" s="4">
        <v>12.74</v>
      </c>
      <c r="I145" s="4">
        <v>1.81</v>
      </c>
      <c r="J145" s="4">
        <v>87.76</v>
      </c>
      <c r="K145" s="4">
        <f t="shared" si="9"/>
        <v>0.81</v>
      </c>
      <c r="L145" s="4">
        <f t="shared" si="10"/>
        <v>0.92297174111212399</v>
      </c>
    </row>
    <row r="146" spans="1:12" x14ac:dyDescent="0.25">
      <c r="A146" s="3">
        <v>40821</v>
      </c>
      <c r="B146" s="2" t="s">
        <v>112</v>
      </c>
      <c r="C146" s="2">
        <v>985</v>
      </c>
      <c r="D146" s="2">
        <v>2</v>
      </c>
      <c r="E146" s="10">
        <v>79.7</v>
      </c>
      <c r="F146" s="4">
        <v>85.03</v>
      </c>
      <c r="G146" s="4">
        <v>1</v>
      </c>
      <c r="H146" s="4">
        <v>9.1</v>
      </c>
      <c r="I146" s="4">
        <v>1.84</v>
      </c>
      <c r="J146" s="4">
        <v>64.61</v>
      </c>
      <c r="K146" s="4">
        <f t="shared" si="9"/>
        <v>0.84000000000000008</v>
      </c>
      <c r="L146" s="4">
        <f t="shared" si="10"/>
        <v>1.3001083423618636</v>
      </c>
    </row>
    <row r="147" spans="1:12" x14ac:dyDescent="0.25">
      <c r="A147" s="3">
        <v>40821</v>
      </c>
      <c r="B147" s="2" t="s">
        <v>112</v>
      </c>
      <c r="C147" s="2">
        <v>986</v>
      </c>
      <c r="D147" s="2">
        <v>3</v>
      </c>
      <c r="E147" s="10">
        <v>84.9</v>
      </c>
      <c r="F147" s="4">
        <v>92.65</v>
      </c>
      <c r="G147" s="4">
        <v>1.01</v>
      </c>
      <c r="H147" s="4">
        <v>8.42</v>
      </c>
      <c r="I147" s="4">
        <v>1.62</v>
      </c>
      <c r="J147" s="4">
        <v>66.87</v>
      </c>
      <c r="K147" s="4">
        <f t="shared" si="9"/>
        <v>0.6100000000000001</v>
      </c>
      <c r="L147" s="4">
        <f t="shared" si="10"/>
        <v>0.91221773590548838</v>
      </c>
    </row>
    <row r="148" spans="1:12" x14ac:dyDescent="0.25">
      <c r="A148" s="3">
        <v>40821</v>
      </c>
      <c r="B148" s="2" t="s">
        <v>112</v>
      </c>
      <c r="C148" s="2">
        <v>987</v>
      </c>
      <c r="D148" s="2">
        <v>3</v>
      </c>
      <c r="E148" s="10">
        <v>95.2</v>
      </c>
      <c r="F148" s="4">
        <v>94.15</v>
      </c>
      <c r="G148" s="4">
        <v>1.01</v>
      </c>
      <c r="H148" s="4">
        <v>9.74</v>
      </c>
      <c r="I148" s="4">
        <v>1.67</v>
      </c>
      <c r="J148" s="4">
        <v>57.27</v>
      </c>
      <c r="K148" s="4">
        <f t="shared" si="9"/>
        <v>0.65999999999999992</v>
      </c>
      <c r="L148" s="4">
        <f t="shared" si="10"/>
        <v>1.1524358302776321</v>
      </c>
    </row>
    <row r="149" spans="1:12" x14ac:dyDescent="0.25">
      <c r="A149" s="3">
        <v>40821</v>
      </c>
      <c r="B149" s="2" t="s">
        <v>112</v>
      </c>
      <c r="C149" s="2">
        <v>988</v>
      </c>
      <c r="D149" s="2">
        <v>3</v>
      </c>
      <c r="E149" s="10">
        <v>71.900000000000006</v>
      </c>
      <c r="F149" s="4">
        <v>64.84</v>
      </c>
      <c r="G149" s="4">
        <v>1.03</v>
      </c>
      <c r="H149" s="4">
        <v>7.28</v>
      </c>
      <c r="I149" s="4">
        <v>1.51</v>
      </c>
      <c r="J149" s="4">
        <v>42.12</v>
      </c>
      <c r="K149" s="4">
        <f t="shared" si="9"/>
        <v>0.48</v>
      </c>
      <c r="L149" s="4">
        <f t="shared" si="10"/>
        <v>1.1396011396011396</v>
      </c>
    </row>
    <row r="150" spans="1:12" x14ac:dyDescent="0.25">
      <c r="A150" s="3">
        <v>40821</v>
      </c>
      <c r="B150" s="2" t="s">
        <v>112</v>
      </c>
      <c r="C150" s="2">
        <v>989</v>
      </c>
      <c r="D150" s="2">
        <v>3</v>
      </c>
      <c r="E150" s="10">
        <v>96</v>
      </c>
      <c r="F150" s="4">
        <v>101.56</v>
      </c>
      <c r="G150" s="4">
        <v>1.03</v>
      </c>
      <c r="H150" s="4">
        <v>15.64</v>
      </c>
      <c r="I150" s="4">
        <v>2.06</v>
      </c>
      <c r="J150" s="4">
        <v>61.86</v>
      </c>
      <c r="K150" s="4">
        <f t="shared" si="9"/>
        <v>1.03</v>
      </c>
      <c r="L150" s="4">
        <f t="shared" si="10"/>
        <v>1.6650501131587458</v>
      </c>
    </row>
    <row r="151" spans="1:12" x14ac:dyDescent="0.25">
      <c r="A151" s="3">
        <v>40821</v>
      </c>
      <c r="B151" s="2" t="s">
        <v>112</v>
      </c>
      <c r="C151" s="2">
        <v>990</v>
      </c>
      <c r="D151" s="2">
        <v>3</v>
      </c>
      <c r="E151" s="10">
        <v>83.3</v>
      </c>
      <c r="F151" s="4">
        <v>62.85</v>
      </c>
      <c r="G151" s="4">
        <v>1.01</v>
      </c>
      <c r="H151" s="4">
        <v>6.96</v>
      </c>
      <c r="I151" s="4">
        <v>1.69</v>
      </c>
      <c r="J151" s="4">
        <v>44.57</v>
      </c>
      <c r="K151" s="4">
        <f t="shared" si="9"/>
        <v>0.67999999999999994</v>
      </c>
      <c r="L151" s="4">
        <f t="shared" si="10"/>
        <v>1.5256899259591652</v>
      </c>
    </row>
    <row r="152" spans="1:12" x14ac:dyDescent="0.25">
      <c r="A152" s="3">
        <v>40849</v>
      </c>
      <c r="B152" s="2" t="s">
        <v>112</v>
      </c>
      <c r="C152" s="2">
        <v>991</v>
      </c>
      <c r="D152" s="2">
        <v>1</v>
      </c>
      <c r="E152" s="10">
        <v>58.3</v>
      </c>
      <c r="F152" s="4">
        <v>20.57</v>
      </c>
      <c r="G152" s="4">
        <v>1.01</v>
      </c>
      <c r="H152" s="4">
        <v>4.25</v>
      </c>
      <c r="I152" s="4">
        <v>1.1599999999999999</v>
      </c>
      <c r="J152" s="4">
        <v>12.99</v>
      </c>
      <c r="K152" s="4">
        <f t="shared" si="9"/>
        <v>0.14999999999999991</v>
      </c>
      <c r="L152" s="4">
        <f t="shared" si="10"/>
        <v>1.1547344110854496</v>
      </c>
    </row>
    <row r="153" spans="1:12" x14ac:dyDescent="0.25">
      <c r="A153" s="3">
        <v>40849</v>
      </c>
      <c r="B153" s="2" t="s">
        <v>112</v>
      </c>
      <c r="C153" s="2">
        <v>992</v>
      </c>
      <c r="D153" s="2">
        <v>1</v>
      </c>
      <c r="E153" s="10">
        <v>81</v>
      </c>
      <c r="F153" s="4">
        <v>60.95</v>
      </c>
      <c r="G153" s="4">
        <v>1.01</v>
      </c>
      <c r="H153" s="4">
        <v>9.6199999999999992</v>
      </c>
      <c r="I153" s="4">
        <v>1.48</v>
      </c>
      <c r="J153" s="4">
        <v>39.86</v>
      </c>
      <c r="K153" s="4">
        <f t="shared" si="9"/>
        <v>0.47</v>
      </c>
      <c r="L153" s="4">
        <f t="shared" si="10"/>
        <v>1.1791269443050676</v>
      </c>
    </row>
    <row r="154" spans="1:12" x14ac:dyDescent="0.25">
      <c r="A154" s="3">
        <v>40849</v>
      </c>
      <c r="B154" s="2" t="s">
        <v>112</v>
      </c>
      <c r="C154" s="2">
        <v>993</v>
      </c>
      <c r="D154" s="2">
        <v>1</v>
      </c>
      <c r="E154" s="10">
        <v>68.900000000000006</v>
      </c>
      <c r="F154" s="4">
        <v>30.9</v>
      </c>
      <c r="G154" s="4">
        <v>1.03</v>
      </c>
      <c r="H154" s="4">
        <v>5.2</v>
      </c>
      <c r="I154" s="4">
        <v>1.3</v>
      </c>
      <c r="J154" s="4">
        <v>20.440000000000001</v>
      </c>
      <c r="K154" s="4">
        <f t="shared" si="9"/>
        <v>0.27</v>
      </c>
      <c r="L154" s="4">
        <f t="shared" si="10"/>
        <v>1.3209393346379648</v>
      </c>
    </row>
    <row r="155" spans="1:12" x14ac:dyDescent="0.25">
      <c r="A155" s="3">
        <v>40849</v>
      </c>
      <c r="B155" s="2" t="s">
        <v>112</v>
      </c>
      <c r="C155" s="2">
        <v>994</v>
      </c>
      <c r="D155" s="2">
        <v>1</v>
      </c>
      <c r="E155" s="10">
        <v>57</v>
      </c>
      <c r="F155" s="4">
        <v>30.92</v>
      </c>
      <c r="G155" s="4">
        <v>1.01</v>
      </c>
      <c r="H155" s="4">
        <v>5.3</v>
      </c>
      <c r="I155" s="4">
        <v>1.29</v>
      </c>
      <c r="J155" s="4">
        <v>21.29</v>
      </c>
      <c r="K155" s="4">
        <f t="shared" si="9"/>
        <v>0.28000000000000003</v>
      </c>
      <c r="L155" s="4">
        <f t="shared" si="10"/>
        <v>1.3151714419915455</v>
      </c>
    </row>
    <row r="156" spans="1:12" x14ac:dyDescent="0.25">
      <c r="A156" s="3">
        <v>40849</v>
      </c>
      <c r="B156" s="2" t="s">
        <v>112</v>
      </c>
      <c r="C156" s="2">
        <v>995</v>
      </c>
      <c r="D156" s="2">
        <v>1</v>
      </c>
      <c r="E156" s="10">
        <v>63.8</v>
      </c>
      <c r="F156" s="4">
        <v>38.130000000000003</v>
      </c>
      <c r="G156" s="4">
        <v>0.99</v>
      </c>
      <c r="H156" s="4">
        <v>5.65</v>
      </c>
      <c r="I156" s="4">
        <v>1.34</v>
      </c>
      <c r="J156" s="4">
        <v>24.82</v>
      </c>
      <c r="K156" s="4">
        <f t="shared" si="9"/>
        <v>0.35000000000000009</v>
      </c>
      <c r="L156" s="4">
        <f t="shared" si="10"/>
        <v>1.4101531023368254</v>
      </c>
    </row>
    <row r="157" spans="1:12" x14ac:dyDescent="0.25">
      <c r="A157" s="3">
        <v>40849</v>
      </c>
      <c r="B157" s="2" t="s">
        <v>112</v>
      </c>
      <c r="C157" s="2">
        <v>996</v>
      </c>
      <c r="D157" s="2">
        <v>2</v>
      </c>
      <c r="E157" s="10">
        <v>71.3</v>
      </c>
      <c r="F157" s="4">
        <v>68.95</v>
      </c>
      <c r="G157" s="4">
        <v>0.98</v>
      </c>
      <c r="H157" s="4">
        <v>8.61</v>
      </c>
      <c r="I157" s="4">
        <v>1.29</v>
      </c>
      <c r="J157" s="4">
        <v>50.22</v>
      </c>
      <c r="K157" s="4">
        <f t="shared" si="9"/>
        <v>0.31000000000000005</v>
      </c>
      <c r="L157" s="4">
        <f t="shared" si="10"/>
        <v>0.61728395061728414</v>
      </c>
    </row>
    <row r="158" spans="1:12" x14ac:dyDescent="0.25">
      <c r="A158" s="3">
        <v>40849</v>
      </c>
      <c r="B158" s="2" t="s">
        <v>112</v>
      </c>
      <c r="C158" s="2">
        <v>997</v>
      </c>
      <c r="D158" s="2">
        <v>2</v>
      </c>
      <c r="E158" s="10">
        <v>76.5</v>
      </c>
      <c r="F158" s="4">
        <v>58.11</v>
      </c>
      <c r="G158" s="4">
        <v>0.97</v>
      </c>
      <c r="H158" s="4">
        <v>6.26</v>
      </c>
      <c r="I158" s="4">
        <v>1.24</v>
      </c>
      <c r="J158" s="4">
        <v>41.22</v>
      </c>
      <c r="K158" s="4">
        <f t="shared" si="9"/>
        <v>0.27</v>
      </c>
      <c r="L158" s="4">
        <f t="shared" si="10"/>
        <v>0.65502183406113546</v>
      </c>
    </row>
    <row r="159" spans="1:12" x14ac:dyDescent="0.25">
      <c r="A159" s="3">
        <v>40849</v>
      </c>
      <c r="B159" s="2" t="s">
        <v>112</v>
      </c>
      <c r="C159" s="2">
        <v>998</v>
      </c>
      <c r="D159" s="2">
        <v>2</v>
      </c>
      <c r="E159" s="10">
        <v>51.5</v>
      </c>
      <c r="F159" s="4">
        <v>31.52</v>
      </c>
      <c r="G159" s="4">
        <v>0.99</v>
      </c>
      <c r="H159" s="4">
        <v>5.56</v>
      </c>
      <c r="I159" s="4">
        <v>1.29</v>
      </c>
      <c r="J159" s="4">
        <v>20.78</v>
      </c>
      <c r="K159" s="4">
        <f t="shared" si="9"/>
        <v>0.30000000000000004</v>
      </c>
      <c r="L159" s="4">
        <f t="shared" si="10"/>
        <v>1.4436958614051973</v>
      </c>
    </row>
    <row r="160" spans="1:12" x14ac:dyDescent="0.25">
      <c r="A160" s="3">
        <v>40849</v>
      </c>
      <c r="B160" s="2" t="s">
        <v>112</v>
      </c>
      <c r="C160" s="2">
        <v>999</v>
      </c>
      <c r="D160" s="2">
        <v>2</v>
      </c>
      <c r="E160" s="10">
        <v>66.900000000000006</v>
      </c>
      <c r="F160" s="4">
        <v>41.06</v>
      </c>
      <c r="G160" s="4">
        <v>1.04</v>
      </c>
      <c r="H160" s="4">
        <v>7.27</v>
      </c>
      <c r="I160" s="4">
        <v>1.58</v>
      </c>
      <c r="J160" s="4">
        <v>27.21</v>
      </c>
      <c r="K160" s="4">
        <f t="shared" si="9"/>
        <v>0.54</v>
      </c>
      <c r="L160" s="4">
        <f t="shared" si="10"/>
        <v>1.9845644983461963</v>
      </c>
    </row>
    <row r="161" spans="1:12" x14ac:dyDescent="0.25">
      <c r="A161" s="3">
        <v>40849</v>
      </c>
      <c r="B161" s="2" t="s">
        <v>112</v>
      </c>
      <c r="C161" s="2">
        <v>1000</v>
      </c>
      <c r="D161" s="2">
        <v>2</v>
      </c>
      <c r="E161" s="10">
        <v>65.900000000000006</v>
      </c>
      <c r="F161" s="4">
        <v>45.9</v>
      </c>
      <c r="G161" s="4">
        <v>1.04</v>
      </c>
      <c r="H161" s="4">
        <v>6.84</v>
      </c>
      <c r="I161" s="4">
        <v>1.48</v>
      </c>
      <c r="J161" s="4">
        <v>29.27</v>
      </c>
      <c r="K161" s="4">
        <f t="shared" si="9"/>
        <v>0.43999999999999995</v>
      </c>
      <c r="L161" s="4">
        <f t="shared" si="10"/>
        <v>1.5032456440040995</v>
      </c>
    </row>
    <row r="162" spans="1:12" x14ac:dyDescent="0.25">
      <c r="A162" s="3">
        <v>40849</v>
      </c>
      <c r="B162" s="2" t="s">
        <v>112</v>
      </c>
      <c r="C162" s="2">
        <v>1001</v>
      </c>
      <c r="D162" s="2">
        <v>3</v>
      </c>
      <c r="E162" s="10">
        <v>78.099999999999994</v>
      </c>
      <c r="F162" s="4">
        <v>60.9</v>
      </c>
      <c r="G162" s="4">
        <v>1</v>
      </c>
      <c r="H162" s="4">
        <v>9.23</v>
      </c>
      <c r="I162" s="4">
        <v>1.4</v>
      </c>
      <c r="J162" s="4">
        <v>41.89</v>
      </c>
      <c r="K162" s="4">
        <f t="shared" si="9"/>
        <v>0.39999999999999991</v>
      </c>
      <c r="L162" s="4">
        <f t="shared" si="10"/>
        <v>0.95488183337311983</v>
      </c>
    </row>
    <row r="163" spans="1:12" x14ac:dyDescent="0.25">
      <c r="A163" s="3">
        <v>40849</v>
      </c>
      <c r="B163" s="2" t="s">
        <v>112</v>
      </c>
      <c r="C163" s="2">
        <v>1002</v>
      </c>
      <c r="D163" s="2">
        <v>3</v>
      </c>
      <c r="E163" s="10">
        <v>50.1</v>
      </c>
      <c r="F163" s="4">
        <v>27.77</v>
      </c>
      <c r="G163" s="4">
        <v>0.99</v>
      </c>
      <c r="H163" s="4">
        <v>5.66</v>
      </c>
      <c r="I163" s="4">
        <v>1.25</v>
      </c>
      <c r="J163" s="4">
        <v>17.97</v>
      </c>
      <c r="K163" s="4">
        <f t="shared" si="9"/>
        <v>0.26</v>
      </c>
      <c r="L163" s="4">
        <f t="shared" si="10"/>
        <v>1.4468558708959378</v>
      </c>
    </row>
    <row r="164" spans="1:12" x14ac:dyDescent="0.25">
      <c r="A164" s="3">
        <v>40849</v>
      </c>
      <c r="B164" s="2" t="s">
        <v>112</v>
      </c>
      <c r="C164" s="2">
        <v>1003</v>
      </c>
      <c r="D164" s="2">
        <v>3</v>
      </c>
      <c r="E164" s="10">
        <v>46.9</v>
      </c>
      <c r="F164" s="4">
        <v>26.41</v>
      </c>
      <c r="G164" s="4">
        <v>1.02</v>
      </c>
      <c r="H164" s="4">
        <v>4.47</v>
      </c>
      <c r="I164" s="4">
        <v>1.28</v>
      </c>
      <c r="J164" s="4">
        <v>17.829999999999998</v>
      </c>
      <c r="K164" s="4">
        <f t="shared" si="9"/>
        <v>0.26</v>
      </c>
      <c r="L164" s="4">
        <f t="shared" si="10"/>
        <v>1.4582164890633764</v>
      </c>
    </row>
    <row r="165" spans="1:12" x14ac:dyDescent="0.25">
      <c r="A165" s="3">
        <v>40849</v>
      </c>
      <c r="B165" s="2" t="s">
        <v>112</v>
      </c>
      <c r="C165" s="2">
        <v>1004</v>
      </c>
      <c r="D165" s="2">
        <v>3</v>
      </c>
      <c r="E165" s="10">
        <v>44.8</v>
      </c>
      <c r="F165" s="4">
        <v>15.62</v>
      </c>
      <c r="G165" s="4">
        <v>1</v>
      </c>
      <c r="H165" s="4">
        <v>2.88</v>
      </c>
      <c r="I165" s="4">
        <v>1.1499999999999999</v>
      </c>
      <c r="J165" s="4">
        <v>10.51</v>
      </c>
      <c r="K165" s="4">
        <f t="shared" si="9"/>
        <v>0.14999999999999991</v>
      </c>
      <c r="L165" s="4">
        <f t="shared" si="10"/>
        <v>1.4272121788772589</v>
      </c>
    </row>
    <row r="166" spans="1:12" x14ac:dyDescent="0.25">
      <c r="A166" s="3">
        <v>40849</v>
      </c>
      <c r="B166" s="2" t="s">
        <v>112</v>
      </c>
      <c r="C166" s="2">
        <v>1005</v>
      </c>
      <c r="D166" s="2">
        <v>3</v>
      </c>
      <c r="E166" s="10">
        <v>57.9</v>
      </c>
      <c r="F166" s="4">
        <v>28.71</v>
      </c>
      <c r="G166" s="4">
        <v>1.01</v>
      </c>
      <c r="H166" s="4">
        <v>5.0199999999999996</v>
      </c>
      <c r="I166" s="4">
        <v>1.23</v>
      </c>
      <c r="J166" s="4">
        <v>21.07</v>
      </c>
      <c r="K166" s="4">
        <f t="shared" si="9"/>
        <v>0.21999999999999997</v>
      </c>
      <c r="L166" s="4">
        <f t="shared" si="10"/>
        <v>1.0441385856668248</v>
      </c>
    </row>
    <row r="167" spans="1:12" x14ac:dyDescent="0.25">
      <c r="A167" s="3">
        <v>40883</v>
      </c>
      <c r="B167" s="2" t="s">
        <v>112</v>
      </c>
      <c r="C167" s="2">
        <v>1006</v>
      </c>
      <c r="D167" s="2">
        <v>1</v>
      </c>
      <c r="E167" s="10">
        <v>103.9</v>
      </c>
      <c r="F167" s="4">
        <v>73.62</v>
      </c>
      <c r="G167" s="4">
        <v>0.99</v>
      </c>
      <c r="H167" s="4">
        <v>9.31</v>
      </c>
      <c r="I167" s="4">
        <v>1.48</v>
      </c>
      <c r="J167" s="4">
        <v>44.55</v>
      </c>
      <c r="K167" s="4">
        <f t="shared" si="9"/>
        <v>0.49</v>
      </c>
      <c r="L167" s="4">
        <f t="shared" si="10"/>
        <v>1.0998877665544331</v>
      </c>
    </row>
    <row r="168" spans="1:12" x14ac:dyDescent="0.25">
      <c r="A168" s="3">
        <v>40883</v>
      </c>
      <c r="B168" s="2" t="s">
        <v>112</v>
      </c>
      <c r="C168" s="2">
        <v>1007</v>
      </c>
      <c r="D168" s="2">
        <v>1</v>
      </c>
      <c r="E168" s="10">
        <v>74.400000000000006</v>
      </c>
      <c r="F168" s="4">
        <v>35.590000000000003</v>
      </c>
      <c r="G168" s="4">
        <v>0.99</v>
      </c>
      <c r="H168" s="4">
        <v>5.82</v>
      </c>
      <c r="I168" s="4">
        <v>1.36</v>
      </c>
      <c r="J168" s="4">
        <v>22.33</v>
      </c>
      <c r="K168" s="4">
        <f t="shared" si="9"/>
        <v>0.37000000000000011</v>
      </c>
      <c r="L168" s="4">
        <f t="shared" si="10"/>
        <v>1.6569637259292436</v>
      </c>
    </row>
    <row r="169" spans="1:12" x14ac:dyDescent="0.25">
      <c r="A169" s="3">
        <v>40883</v>
      </c>
      <c r="B169" s="2" t="s">
        <v>112</v>
      </c>
      <c r="C169" s="2">
        <v>1008</v>
      </c>
      <c r="D169" s="2">
        <v>1</v>
      </c>
      <c r="E169" s="10">
        <v>38.700000000000003</v>
      </c>
      <c r="F169" s="4">
        <v>15.42</v>
      </c>
      <c r="G169" s="4">
        <v>1.03</v>
      </c>
      <c r="H169" s="4">
        <v>2.56</v>
      </c>
      <c r="I169" s="4">
        <v>1.2</v>
      </c>
      <c r="J169" s="4">
        <v>10.76</v>
      </c>
      <c r="K169" s="4">
        <f t="shared" si="9"/>
        <v>0.16999999999999993</v>
      </c>
      <c r="L169" s="4">
        <f t="shared" si="10"/>
        <v>1.5799256505576205</v>
      </c>
    </row>
    <row r="170" spans="1:12" x14ac:dyDescent="0.25">
      <c r="A170" s="3">
        <v>40883</v>
      </c>
      <c r="B170" s="2" t="s">
        <v>112</v>
      </c>
      <c r="C170" s="2">
        <v>1009</v>
      </c>
      <c r="D170" s="2">
        <v>1</v>
      </c>
      <c r="E170" s="10">
        <v>43</v>
      </c>
      <c r="F170" s="4">
        <v>8.99</v>
      </c>
      <c r="G170" s="4">
        <v>1</v>
      </c>
      <c r="H170" s="4">
        <v>2.2200000000000002</v>
      </c>
      <c r="I170" s="4">
        <v>1.1299999999999999</v>
      </c>
      <c r="J170" s="4">
        <v>6.05</v>
      </c>
      <c r="K170" s="4">
        <f t="shared" si="9"/>
        <v>0.12999999999999989</v>
      </c>
      <c r="L170" s="4">
        <f t="shared" si="10"/>
        <v>2.1487603305785106</v>
      </c>
    </row>
    <row r="171" spans="1:12" x14ac:dyDescent="0.25">
      <c r="A171" s="3">
        <v>40883</v>
      </c>
      <c r="B171" s="2" t="s">
        <v>112</v>
      </c>
      <c r="C171" s="2">
        <v>1010</v>
      </c>
      <c r="D171" s="2">
        <v>1</v>
      </c>
      <c r="E171" s="10">
        <v>52.8</v>
      </c>
      <c r="F171" s="4">
        <v>17.420000000000002</v>
      </c>
      <c r="G171" s="4">
        <v>0.98</v>
      </c>
      <c r="H171" s="4">
        <v>3.26</v>
      </c>
      <c r="I171" s="4">
        <v>1.25</v>
      </c>
      <c r="J171" s="4">
        <v>12.55</v>
      </c>
      <c r="K171" s="4">
        <f t="shared" si="9"/>
        <v>0.27</v>
      </c>
      <c r="L171" s="4">
        <f t="shared" si="10"/>
        <v>2.1513944223107573</v>
      </c>
    </row>
    <row r="172" spans="1:12" x14ac:dyDescent="0.25">
      <c r="A172" s="3">
        <v>40883</v>
      </c>
      <c r="B172" s="2" t="s">
        <v>112</v>
      </c>
      <c r="C172" s="2">
        <v>1011</v>
      </c>
      <c r="D172" s="2">
        <v>2</v>
      </c>
      <c r="E172" s="10">
        <v>59.7</v>
      </c>
      <c r="F172" s="4">
        <v>51.12</v>
      </c>
      <c r="G172" s="4">
        <v>1.01</v>
      </c>
      <c r="H172" s="4">
        <v>6.51</v>
      </c>
      <c r="I172" s="4">
        <v>1.43</v>
      </c>
      <c r="J172" s="4">
        <v>35.51</v>
      </c>
      <c r="K172" s="4">
        <f t="shared" si="9"/>
        <v>0.41999999999999993</v>
      </c>
      <c r="L172" s="4">
        <f t="shared" si="10"/>
        <v>1.1827654181920584</v>
      </c>
    </row>
    <row r="173" spans="1:12" x14ac:dyDescent="0.25">
      <c r="A173" s="3">
        <v>40883</v>
      </c>
      <c r="B173" s="2" t="s">
        <v>112</v>
      </c>
      <c r="C173" s="2">
        <v>1012</v>
      </c>
      <c r="D173" s="2">
        <v>2</v>
      </c>
      <c r="E173" s="10">
        <v>56.6</v>
      </c>
      <c r="F173" s="4">
        <v>25.76</v>
      </c>
      <c r="G173" s="4">
        <v>0.99</v>
      </c>
      <c r="H173" s="4">
        <v>5.12</v>
      </c>
      <c r="I173" s="4">
        <v>1.31</v>
      </c>
      <c r="J173" s="4">
        <v>17.11</v>
      </c>
      <c r="K173" s="4">
        <f t="shared" si="9"/>
        <v>0.32000000000000006</v>
      </c>
      <c r="L173" s="4">
        <f t="shared" si="10"/>
        <v>1.8702513150204565</v>
      </c>
    </row>
    <row r="174" spans="1:12" x14ac:dyDescent="0.25">
      <c r="A174" s="3">
        <v>40883</v>
      </c>
      <c r="B174" s="2" t="s">
        <v>112</v>
      </c>
      <c r="C174" s="2">
        <v>1013</v>
      </c>
      <c r="D174" s="2">
        <v>2</v>
      </c>
      <c r="E174" s="10">
        <v>78</v>
      </c>
      <c r="F174" s="4">
        <v>54.84</v>
      </c>
      <c r="G174" s="4">
        <v>0.99</v>
      </c>
      <c r="H174" s="4">
        <v>7.3</v>
      </c>
      <c r="I174" s="4">
        <v>1.58</v>
      </c>
      <c r="J174" s="4">
        <v>39.25</v>
      </c>
      <c r="K174" s="4">
        <f t="shared" si="9"/>
        <v>0.59000000000000008</v>
      </c>
      <c r="L174" s="4">
        <f t="shared" si="10"/>
        <v>1.5031847133757963</v>
      </c>
    </row>
    <row r="175" spans="1:12" x14ac:dyDescent="0.25">
      <c r="A175" s="3">
        <v>40883</v>
      </c>
      <c r="B175" s="2" t="s">
        <v>112</v>
      </c>
      <c r="C175" s="2">
        <v>1014</v>
      </c>
      <c r="D175" s="2">
        <v>2</v>
      </c>
      <c r="E175" s="10">
        <v>65</v>
      </c>
      <c r="F175" s="4">
        <v>30.56</v>
      </c>
      <c r="G175" s="4">
        <v>0.99</v>
      </c>
      <c r="H175" s="4">
        <v>3.3</v>
      </c>
      <c r="I175" s="4">
        <v>1.1399999999999999</v>
      </c>
      <c r="J175" s="4">
        <v>19.399999999999999</v>
      </c>
      <c r="K175" s="4">
        <f t="shared" si="9"/>
        <v>0.14999999999999991</v>
      </c>
      <c r="L175" s="4">
        <f t="shared" si="10"/>
        <v>0.77319587628865938</v>
      </c>
    </row>
    <row r="176" spans="1:12" x14ac:dyDescent="0.25">
      <c r="A176" s="3">
        <v>40883</v>
      </c>
      <c r="B176" s="2" t="s">
        <v>112</v>
      </c>
      <c r="C176" s="2">
        <v>1015</v>
      </c>
      <c r="D176" s="2">
        <v>2</v>
      </c>
      <c r="E176" s="10">
        <v>51</v>
      </c>
      <c r="F176" s="4">
        <v>20.76</v>
      </c>
      <c r="G176" s="4">
        <v>1</v>
      </c>
      <c r="H176" s="4">
        <v>4.29</v>
      </c>
      <c r="I176" s="4">
        <v>1.36</v>
      </c>
      <c r="J176" s="4">
        <v>13.27</v>
      </c>
      <c r="K176" s="4">
        <f t="shared" si="9"/>
        <v>0.3600000000000001</v>
      </c>
      <c r="L176" s="4">
        <f t="shared" si="10"/>
        <v>2.7128862094951027</v>
      </c>
    </row>
    <row r="177" spans="1:12" x14ac:dyDescent="0.25">
      <c r="A177" s="3">
        <v>40883</v>
      </c>
      <c r="B177" s="2" t="s">
        <v>112</v>
      </c>
      <c r="C177" s="2">
        <v>1016</v>
      </c>
      <c r="D177" s="2">
        <v>3</v>
      </c>
      <c r="E177" s="10">
        <v>82.4</v>
      </c>
      <c r="F177" s="4">
        <v>56.45</v>
      </c>
      <c r="G177" s="4">
        <v>1</v>
      </c>
      <c r="H177" s="4">
        <v>7.07</v>
      </c>
      <c r="I177" s="4">
        <v>1.58</v>
      </c>
      <c r="J177" s="4">
        <v>39.06</v>
      </c>
      <c r="K177" s="4">
        <f t="shared" si="9"/>
        <v>0.58000000000000007</v>
      </c>
      <c r="L177" s="4">
        <f t="shared" si="10"/>
        <v>1.4848950332821302</v>
      </c>
    </row>
    <row r="178" spans="1:12" x14ac:dyDescent="0.25">
      <c r="A178" s="3">
        <v>40883</v>
      </c>
      <c r="B178" s="2" t="s">
        <v>112</v>
      </c>
      <c r="C178" s="2">
        <v>1017</v>
      </c>
      <c r="D178" s="2">
        <v>3</v>
      </c>
      <c r="E178" s="10">
        <v>91.3</v>
      </c>
      <c r="F178" s="4">
        <v>108.38</v>
      </c>
      <c r="G178" s="4">
        <v>1.01</v>
      </c>
      <c r="H178" s="4">
        <v>9.4700000000000006</v>
      </c>
      <c r="I178" s="4">
        <v>1.64</v>
      </c>
      <c r="J178" s="4">
        <v>72.5</v>
      </c>
      <c r="K178" s="4">
        <f t="shared" si="9"/>
        <v>0.62999999999999989</v>
      </c>
      <c r="L178" s="4">
        <f t="shared" si="10"/>
        <v>0.86896551724137905</v>
      </c>
    </row>
    <row r="179" spans="1:12" x14ac:dyDescent="0.25">
      <c r="A179" s="3">
        <v>40883</v>
      </c>
      <c r="B179" s="2" t="s">
        <v>112</v>
      </c>
      <c r="C179" s="2">
        <v>1018</v>
      </c>
      <c r="D179" s="2">
        <v>3</v>
      </c>
      <c r="E179" s="10">
        <v>54.8</v>
      </c>
      <c r="F179" s="4">
        <v>41.35</v>
      </c>
      <c r="G179" s="4">
        <v>1</v>
      </c>
      <c r="H179" s="4">
        <v>4.9400000000000004</v>
      </c>
      <c r="I179" s="4">
        <v>1.33</v>
      </c>
      <c r="J179" s="4">
        <v>24.96</v>
      </c>
      <c r="K179" s="4">
        <f t="shared" si="9"/>
        <v>0.33000000000000007</v>
      </c>
      <c r="L179" s="4">
        <f t="shared" si="10"/>
        <v>1.3221153846153848</v>
      </c>
    </row>
    <row r="180" spans="1:12" x14ac:dyDescent="0.25">
      <c r="A180" s="3">
        <v>40883</v>
      </c>
      <c r="B180" s="2" t="s">
        <v>112</v>
      </c>
      <c r="C180" s="2">
        <v>1019</v>
      </c>
      <c r="D180" s="2">
        <v>3</v>
      </c>
      <c r="E180" s="10">
        <v>51.9</v>
      </c>
      <c r="F180" s="4">
        <v>26.94</v>
      </c>
      <c r="G180" s="4">
        <v>0.99</v>
      </c>
      <c r="H180" s="4">
        <v>4.2699999999999996</v>
      </c>
      <c r="I180" s="4">
        <v>1.33</v>
      </c>
      <c r="J180" s="4">
        <v>17.72</v>
      </c>
      <c r="K180" s="4">
        <f t="shared" si="9"/>
        <v>0.34000000000000008</v>
      </c>
      <c r="L180" s="4">
        <f t="shared" si="10"/>
        <v>1.9187358916478561</v>
      </c>
    </row>
    <row r="181" spans="1:12" x14ac:dyDescent="0.25">
      <c r="A181" s="3">
        <v>40883</v>
      </c>
      <c r="B181" s="2" t="s">
        <v>112</v>
      </c>
      <c r="C181" s="2">
        <v>1020</v>
      </c>
      <c r="D181" s="2">
        <v>3</v>
      </c>
      <c r="E181" s="10">
        <v>49.4</v>
      </c>
      <c r="F181" s="4">
        <v>36.26</v>
      </c>
      <c r="G181" s="4">
        <v>0.99</v>
      </c>
      <c r="H181" s="4">
        <v>5.48</v>
      </c>
      <c r="I181" s="4">
        <v>1.45</v>
      </c>
      <c r="J181" s="4">
        <v>24.74</v>
      </c>
      <c r="K181" s="4">
        <f t="shared" si="9"/>
        <v>0.45999999999999996</v>
      </c>
      <c r="L181" s="4">
        <f t="shared" si="10"/>
        <v>1.8593371059013744</v>
      </c>
    </row>
  </sheetData>
  <conditionalFormatting sqref="A1">
    <cfRule type="expression" dxfId="11" priority="3" stopIfTrue="1">
      <formula>IF(CELL("type",A1)="v","TRUE","FALSE")</formula>
    </cfRule>
    <cfRule type="expression" dxfId="10" priority="4" stopIfTrue="1">
      <formula>IF(CELL("type",A1)="l","TRUE","FALSE")</formula>
    </cfRule>
  </conditionalFormatting>
  <conditionalFormatting sqref="A2:A181">
    <cfRule type="expression" dxfId="9" priority="1" stopIfTrue="1">
      <formula>IF(CELL("type",A2)="v","TRUE","FALSE")</formula>
    </cfRule>
    <cfRule type="expression" dxfId="8" priority="2" stopIfTrue="1">
      <formula>IF(CELL("type",A2)="l","TRUE","FALSE")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B5E4-1ADC-4855-8EEC-8F0E96D05452}">
  <dimension ref="A1:G181"/>
  <sheetViews>
    <sheetView workbookViewId="0">
      <pane ySplit="1" topLeftCell="A2" activePane="bottomLeft" state="frozen"/>
      <selection pane="bottomLeft" activeCell="M16" sqref="M16"/>
    </sheetView>
  </sheetViews>
  <sheetFormatPr defaultRowHeight="15" x14ac:dyDescent="0.25"/>
  <sheetData>
    <row r="1" spans="1:7" ht="25.5" x14ac:dyDescent="0.25">
      <c r="A1" s="5" t="s">
        <v>0</v>
      </c>
      <c r="B1" s="11" t="s">
        <v>101</v>
      </c>
      <c r="C1" s="12" t="s">
        <v>102</v>
      </c>
      <c r="D1" s="12" t="s">
        <v>103</v>
      </c>
      <c r="E1" s="13" t="s">
        <v>104</v>
      </c>
      <c r="F1" s="12" t="s">
        <v>113</v>
      </c>
      <c r="G1" s="12" t="s">
        <v>114</v>
      </c>
    </row>
    <row r="2" spans="1:7" x14ac:dyDescent="0.25">
      <c r="A2" s="3">
        <v>40548</v>
      </c>
      <c r="B2" s="2" t="s">
        <v>112</v>
      </c>
      <c r="C2" s="2">
        <v>841</v>
      </c>
      <c r="D2" s="2">
        <v>1</v>
      </c>
      <c r="E2" s="14">
        <v>80.2</v>
      </c>
      <c r="F2" s="2">
        <v>0</v>
      </c>
      <c r="G2" s="2">
        <v>0</v>
      </c>
    </row>
    <row r="3" spans="1:7" x14ac:dyDescent="0.25">
      <c r="A3" s="3">
        <v>40548</v>
      </c>
      <c r="B3" s="2" t="s">
        <v>112</v>
      </c>
      <c r="C3" s="2">
        <v>842</v>
      </c>
      <c r="D3" s="2">
        <v>1</v>
      </c>
      <c r="E3" s="14">
        <v>110.3</v>
      </c>
      <c r="F3" s="2">
        <v>0.5</v>
      </c>
      <c r="G3" s="2">
        <v>0.5</v>
      </c>
    </row>
    <row r="4" spans="1:7" x14ac:dyDescent="0.25">
      <c r="A4" s="3">
        <v>40548</v>
      </c>
      <c r="B4" s="2" t="s">
        <v>112</v>
      </c>
      <c r="C4" s="2">
        <v>843</v>
      </c>
      <c r="D4" s="2">
        <v>1</v>
      </c>
      <c r="E4" s="14">
        <v>140.30000000000001</v>
      </c>
      <c r="F4" s="2">
        <v>0</v>
      </c>
      <c r="G4" s="2">
        <v>0</v>
      </c>
    </row>
    <row r="5" spans="1:7" x14ac:dyDescent="0.25">
      <c r="A5" s="3">
        <v>40548</v>
      </c>
      <c r="B5" s="2" t="s">
        <v>112</v>
      </c>
      <c r="C5" s="2">
        <v>844</v>
      </c>
      <c r="D5" s="2">
        <v>1</v>
      </c>
      <c r="E5" s="14">
        <v>95.7</v>
      </c>
      <c r="F5" s="2">
        <v>0</v>
      </c>
      <c r="G5" s="2">
        <v>0</v>
      </c>
    </row>
    <row r="6" spans="1:7" x14ac:dyDescent="0.25">
      <c r="A6" s="3">
        <v>40548</v>
      </c>
      <c r="B6" s="2" t="s">
        <v>112</v>
      </c>
      <c r="C6" s="2">
        <v>845</v>
      </c>
      <c r="D6" s="2">
        <v>1</v>
      </c>
      <c r="E6" s="14">
        <v>82.2</v>
      </c>
      <c r="F6" s="2">
        <v>0</v>
      </c>
      <c r="G6" s="2">
        <v>0</v>
      </c>
    </row>
    <row r="7" spans="1:7" x14ac:dyDescent="0.25">
      <c r="A7" s="3">
        <v>40548</v>
      </c>
      <c r="B7" s="2" t="s">
        <v>112</v>
      </c>
      <c r="C7" s="2">
        <v>846</v>
      </c>
      <c r="D7" s="2">
        <v>2</v>
      </c>
      <c r="E7" s="14">
        <v>74.3</v>
      </c>
      <c r="F7" s="2">
        <v>0</v>
      </c>
      <c r="G7" s="2">
        <v>0</v>
      </c>
    </row>
    <row r="8" spans="1:7" x14ac:dyDescent="0.25">
      <c r="A8" s="3">
        <v>40548</v>
      </c>
      <c r="B8" s="2" t="s">
        <v>112</v>
      </c>
      <c r="C8" s="2">
        <v>847</v>
      </c>
      <c r="D8" s="2">
        <v>2</v>
      </c>
      <c r="E8" s="14">
        <v>65.8</v>
      </c>
      <c r="F8" s="2">
        <v>0</v>
      </c>
      <c r="G8" s="2">
        <v>0</v>
      </c>
    </row>
    <row r="9" spans="1:7" x14ac:dyDescent="0.25">
      <c r="A9" s="3">
        <v>40548</v>
      </c>
      <c r="B9" s="2" t="s">
        <v>112</v>
      </c>
      <c r="C9" s="2">
        <v>848</v>
      </c>
      <c r="D9" s="2">
        <v>2</v>
      </c>
      <c r="E9" s="14">
        <v>61.9</v>
      </c>
      <c r="F9" s="2">
        <v>0</v>
      </c>
      <c r="G9" s="2">
        <v>0</v>
      </c>
    </row>
    <row r="10" spans="1:7" x14ac:dyDescent="0.25">
      <c r="A10" s="3">
        <v>40548</v>
      </c>
      <c r="B10" s="2" t="s">
        <v>112</v>
      </c>
      <c r="C10" s="2">
        <v>849</v>
      </c>
      <c r="D10" s="2">
        <v>2</v>
      </c>
      <c r="E10" s="14">
        <v>50.4</v>
      </c>
      <c r="F10" s="2">
        <v>0</v>
      </c>
      <c r="G10" s="2">
        <v>0</v>
      </c>
    </row>
    <row r="11" spans="1:7" x14ac:dyDescent="0.25">
      <c r="A11" s="3">
        <v>40548</v>
      </c>
      <c r="B11" s="2" t="s">
        <v>112</v>
      </c>
      <c r="C11" s="2">
        <v>850</v>
      </c>
      <c r="D11" s="2">
        <v>2</v>
      </c>
      <c r="E11" s="14">
        <v>47.8</v>
      </c>
      <c r="F11" s="2">
        <v>0</v>
      </c>
      <c r="G11" s="2">
        <v>0</v>
      </c>
    </row>
    <row r="12" spans="1:7" x14ac:dyDescent="0.25">
      <c r="A12" s="3">
        <v>40548</v>
      </c>
      <c r="B12" s="2" t="s">
        <v>112</v>
      </c>
      <c r="C12" s="2">
        <v>851</v>
      </c>
      <c r="D12" s="2">
        <v>3</v>
      </c>
      <c r="E12" s="14">
        <v>48.7</v>
      </c>
      <c r="F12" s="2">
        <v>0.5</v>
      </c>
      <c r="G12" s="2">
        <v>0.5</v>
      </c>
    </row>
    <row r="13" spans="1:7" x14ac:dyDescent="0.25">
      <c r="A13" s="3">
        <v>40548</v>
      </c>
      <c r="B13" s="2" t="s">
        <v>112</v>
      </c>
      <c r="C13" s="2">
        <v>852</v>
      </c>
      <c r="D13" s="2">
        <v>3</v>
      </c>
      <c r="E13" s="14">
        <v>96.4</v>
      </c>
      <c r="F13" s="2">
        <v>0</v>
      </c>
      <c r="G13" s="2">
        <v>0</v>
      </c>
    </row>
    <row r="14" spans="1:7" x14ac:dyDescent="0.25">
      <c r="A14" s="3">
        <v>40548</v>
      </c>
      <c r="B14" s="2" t="s">
        <v>112</v>
      </c>
      <c r="C14" s="2">
        <v>853</v>
      </c>
      <c r="D14" s="2">
        <v>3</v>
      </c>
      <c r="E14" s="14">
        <v>98.2</v>
      </c>
      <c r="F14" s="2">
        <v>0</v>
      </c>
      <c r="G14" s="2">
        <v>0</v>
      </c>
    </row>
    <row r="15" spans="1:7" x14ac:dyDescent="0.25">
      <c r="A15" s="3">
        <v>40548</v>
      </c>
      <c r="B15" s="2" t="s">
        <v>112</v>
      </c>
      <c r="C15" s="2">
        <v>854</v>
      </c>
      <c r="D15" s="2">
        <v>3</v>
      </c>
      <c r="E15" s="14">
        <v>74.2</v>
      </c>
      <c r="F15" s="2">
        <v>0</v>
      </c>
      <c r="G15" s="2">
        <v>0</v>
      </c>
    </row>
    <row r="16" spans="1:7" x14ac:dyDescent="0.25">
      <c r="A16" s="3">
        <v>40548</v>
      </c>
      <c r="B16" s="2" t="s">
        <v>112</v>
      </c>
      <c r="C16" s="2">
        <v>855</v>
      </c>
      <c r="D16" s="2">
        <v>3</v>
      </c>
      <c r="E16" s="14">
        <v>53.2</v>
      </c>
      <c r="F16" s="2">
        <v>0</v>
      </c>
      <c r="G16" s="2">
        <v>0</v>
      </c>
    </row>
    <row r="17" spans="1:7" x14ac:dyDescent="0.25">
      <c r="A17" s="3">
        <v>40576</v>
      </c>
      <c r="B17" s="2" t="s">
        <v>112</v>
      </c>
      <c r="C17" s="2">
        <v>856</v>
      </c>
      <c r="D17" s="2">
        <v>1</v>
      </c>
      <c r="E17" s="14">
        <v>79.599999999999994</v>
      </c>
      <c r="F17" s="2">
        <v>0</v>
      </c>
      <c r="G17" s="2">
        <v>0</v>
      </c>
    </row>
    <row r="18" spans="1:7" x14ac:dyDescent="0.25">
      <c r="A18" s="3">
        <v>40576</v>
      </c>
      <c r="B18" s="2" t="s">
        <v>112</v>
      </c>
      <c r="C18" s="2">
        <v>857</v>
      </c>
      <c r="D18" s="2">
        <v>1</v>
      </c>
      <c r="E18" s="14">
        <v>99.6</v>
      </c>
      <c r="F18" s="2">
        <v>0</v>
      </c>
      <c r="G18" s="2">
        <v>0</v>
      </c>
    </row>
    <row r="19" spans="1:7" x14ac:dyDescent="0.25">
      <c r="A19" s="3">
        <v>40576</v>
      </c>
      <c r="B19" s="2" t="s">
        <v>112</v>
      </c>
      <c r="C19" s="2">
        <v>858</v>
      </c>
      <c r="D19" s="2">
        <v>1</v>
      </c>
      <c r="E19" s="14">
        <v>85.5</v>
      </c>
      <c r="F19" s="2">
        <v>1</v>
      </c>
      <c r="G19" s="2">
        <v>1</v>
      </c>
    </row>
    <row r="20" spans="1:7" x14ac:dyDescent="0.25">
      <c r="A20" s="3">
        <v>40576</v>
      </c>
      <c r="B20" s="2" t="s">
        <v>112</v>
      </c>
      <c r="C20" s="2">
        <v>859</v>
      </c>
      <c r="D20" s="2">
        <v>1</v>
      </c>
      <c r="E20" s="14">
        <v>90.3</v>
      </c>
      <c r="F20" s="2">
        <v>0.5</v>
      </c>
      <c r="G20" s="2">
        <v>0.5</v>
      </c>
    </row>
    <row r="21" spans="1:7" x14ac:dyDescent="0.25">
      <c r="A21" s="3">
        <v>40576</v>
      </c>
      <c r="B21" s="2" t="s">
        <v>112</v>
      </c>
      <c r="C21" s="2">
        <v>860</v>
      </c>
      <c r="D21" s="2">
        <v>1</v>
      </c>
      <c r="E21" s="14">
        <v>70.900000000000006</v>
      </c>
      <c r="F21" s="2">
        <v>0</v>
      </c>
      <c r="G21" s="2">
        <v>0</v>
      </c>
    </row>
    <row r="22" spans="1:7" x14ac:dyDescent="0.25">
      <c r="A22" s="3">
        <v>40576</v>
      </c>
      <c r="B22" s="2" t="s">
        <v>112</v>
      </c>
      <c r="C22" s="2">
        <v>861</v>
      </c>
      <c r="D22" s="2">
        <v>2</v>
      </c>
      <c r="E22" s="14">
        <v>78</v>
      </c>
      <c r="F22" s="2">
        <v>0</v>
      </c>
      <c r="G22" s="2">
        <v>0</v>
      </c>
    </row>
    <row r="23" spans="1:7" x14ac:dyDescent="0.25">
      <c r="A23" s="3">
        <v>40576</v>
      </c>
      <c r="B23" s="2" t="s">
        <v>112</v>
      </c>
      <c r="C23" s="2">
        <v>862</v>
      </c>
      <c r="D23" s="2">
        <v>2</v>
      </c>
      <c r="E23" s="14">
        <v>77.5</v>
      </c>
      <c r="F23" s="2">
        <v>0.5</v>
      </c>
      <c r="G23" s="2">
        <v>1</v>
      </c>
    </row>
    <row r="24" spans="1:7" x14ac:dyDescent="0.25">
      <c r="A24" s="3">
        <v>40576</v>
      </c>
      <c r="B24" s="2" t="s">
        <v>112</v>
      </c>
      <c r="C24" s="2">
        <v>863</v>
      </c>
      <c r="D24" s="2">
        <v>2</v>
      </c>
      <c r="E24" s="14">
        <v>71.900000000000006</v>
      </c>
      <c r="F24" s="2">
        <v>0</v>
      </c>
      <c r="G24" s="2">
        <v>0</v>
      </c>
    </row>
    <row r="25" spans="1:7" x14ac:dyDescent="0.25">
      <c r="A25" s="3">
        <v>40576</v>
      </c>
      <c r="B25" s="2" t="s">
        <v>112</v>
      </c>
      <c r="C25" s="2">
        <v>864</v>
      </c>
      <c r="D25" s="2">
        <v>2</v>
      </c>
      <c r="E25" s="14">
        <v>67.099999999999994</v>
      </c>
      <c r="F25" s="2">
        <v>0</v>
      </c>
      <c r="G25" s="2">
        <v>0</v>
      </c>
    </row>
    <row r="26" spans="1:7" x14ac:dyDescent="0.25">
      <c r="A26" s="3">
        <v>40576</v>
      </c>
      <c r="B26" s="2" t="s">
        <v>112</v>
      </c>
      <c r="C26" s="2">
        <v>865</v>
      </c>
      <c r="D26" s="2">
        <v>2</v>
      </c>
      <c r="E26" s="14">
        <v>53.3</v>
      </c>
      <c r="F26" s="2">
        <v>0</v>
      </c>
      <c r="G26" s="2">
        <v>0</v>
      </c>
    </row>
    <row r="27" spans="1:7" x14ac:dyDescent="0.25">
      <c r="A27" s="3">
        <v>40576</v>
      </c>
      <c r="B27" s="2" t="s">
        <v>112</v>
      </c>
      <c r="C27" s="2">
        <v>866</v>
      </c>
      <c r="D27" s="2">
        <v>3</v>
      </c>
      <c r="E27" s="14">
        <v>80.7</v>
      </c>
      <c r="F27" s="2">
        <v>0</v>
      </c>
      <c r="G27" s="2">
        <v>0</v>
      </c>
    </row>
    <row r="28" spans="1:7" x14ac:dyDescent="0.25">
      <c r="A28" s="3">
        <v>40576</v>
      </c>
      <c r="B28" s="2" t="s">
        <v>112</v>
      </c>
      <c r="C28" s="2">
        <v>867</v>
      </c>
      <c r="D28" s="2">
        <v>3</v>
      </c>
      <c r="E28" s="14">
        <v>74</v>
      </c>
      <c r="F28" s="2">
        <v>0</v>
      </c>
      <c r="G28" s="2">
        <v>0</v>
      </c>
    </row>
    <row r="29" spans="1:7" x14ac:dyDescent="0.25">
      <c r="A29" s="3">
        <v>40576</v>
      </c>
      <c r="B29" s="2" t="s">
        <v>112</v>
      </c>
      <c r="C29" s="2">
        <v>868</v>
      </c>
      <c r="D29" s="2">
        <v>3</v>
      </c>
      <c r="E29" s="14">
        <v>58.8</v>
      </c>
      <c r="F29" s="2">
        <v>0</v>
      </c>
      <c r="G29" s="2">
        <v>0</v>
      </c>
    </row>
    <row r="30" spans="1:7" x14ac:dyDescent="0.25">
      <c r="A30" s="3">
        <v>40576</v>
      </c>
      <c r="B30" s="2" t="s">
        <v>112</v>
      </c>
      <c r="C30" s="2">
        <v>869</v>
      </c>
      <c r="D30" s="2">
        <v>3</v>
      </c>
      <c r="E30" s="14">
        <v>65.8</v>
      </c>
      <c r="F30" s="2">
        <v>0</v>
      </c>
      <c r="G30" s="2">
        <v>0</v>
      </c>
    </row>
    <row r="31" spans="1:7" x14ac:dyDescent="0.25">
      <c r="A31" s="3">
        <v>40576</v>
      </c>
      <c r="B31" s="2" t="s">
        <v>112</v>
      </c>
      <c r="C31" s="2">
        <v>870</v>
      </c>
      <c r="D31" s="2">
        <v>3</v>
      </c>
      <c r="E31" s="14">
        <v>47</v>
      </c>
      <c r="F31" s="2">
        <v>0</v>
      </c>
      <c r="G31" s="2">
        <v>0</v>
      </c>
    </row>
    <row r="32" spans="1:7" x14ac:dyDescent="0.25">
      <c r="A32" s="3">
        <v>40604</v>
      </c>
      <c r="B32" s="2" t="s">
        <v>112</v>
      </c>
      <c r="C32" s="2">
        <v>871</v>
      </c>
      <c r="D32" s="2">
        <v>1</v>
      </c>
      <c r="E32" s="14">
        <v>98</v>
      </c>
      <c r="F32" s="2">
        <v>0</v>
      </c>
      <c r="G32" s="2">
        <v>0</v>
      </c>
    </row>
    <row r="33" spans="1:7" x14ac:dyDescent="0.25">
      <c r="A33" s="3">
        <v>40604</v>
      </c>
      <c r="B33" s="2" t="s">
        <v>112</v>
      </c>
      <c r="C33" s="2">
        <f>C32+1</f>
        <v>872</v>
      </c>
      <c r="D33" s="2">
        <v>1</v>
      </c>
      <c r="E33" s="14">
        <v>51.8</v>
      </c>
      <c r="F33" s="2">
        <v>0</v>
      </c>
      <c r="G33" s="2">
        <v>0</v>
      </c>
    </row>
    <row r="34" spans="1:7" x14ac:dyDescent="0.25">
      <c r="A34" s="3">
        <v>40604</v>
      </c>
      <c r="B34" s="2" t="s">
        <v>112</v>
      </c>
      <c r="C34" s="2">
        <f t="shared" ref="C34:C46" si="0">C33+1</f>
        <v>873</v>
      </c>
      <c r="D34" s="2">
        <v>1</v>
      </c>
      <c r="E34" s="14">
        <v>59.5</v>
      </c>
      <c r="F34" s="2">
        <v>0</v>
      </c>
      <c r="G34" s="2">
        <v>0</v>
      </c>
    </row>
    <row r="35" spans="1:7" x14ac:dyDescent="0.25">
      <c r="A35" s="3">
        <v>40604</v>
      </c>
      <c r="B35" s="2" t="s">
        <v>112</v>
      </c>
      <c r="C35" s="2">
        <f t="shared" si="0"/>
        <v>874</v>
      </c>
      <c r="D35" s="2">
        <v>1</v>
      </c>
      <c r="E35" s="14">
        <v>84.3</v>
      </c>
      <c r="F35" s="2">
        <v>0</v>
      </c>
      <c r="G35" s="2">
        <v>0</v>
      </c>
    </row>
    <row r="36" spans="1:7" x14ac:dyDescent="0.25">
      <c r="A36" s="3">
        <v>40604</v>
      </c>
      <c r="B36" s="2" t="s">
        <v>112</v>
      </c>
      <c r="C36" s="2">
        <f t="shared" si="0"/>
        <v>875</v>
      </c>
      <c r="D36" s="2">
        <v>1</v>
      </c>
      <c r="E36" s="14">
        <v>89.7</v>
      </c>
      <c r="F36" s="2">
        <v>0</v>
      </c>
      <c r="G36" s="2">
        <v>0.5</v>
      </c>
    </row>
    <row r="37" spans="1:7" x14ac:dyDescent="0.25">
      <c r="A37" s="3">
        <v>40604</v>
      </c>
      <c r="B37" s="2" t="s">
        <v>112</v>
      </c>
      <c r="C37" s="2">
        <f t="shared" si="0"/>
        <v>876</v>
      </c>
      <c r="D37" s="2">
        <v>2</v>
      </c>
      <c r="E37" s="14">
        <v>59.8</v>
      </c>
      <c r="F37" s="2">
        <v>0</v>
      </c>
      <c r="G37" s="2">
        <v>0</v>
      </c>
    </row>
    <row r="38" spans="1:7" x14ac:dyDescent="0.25">
      <c r="A38" s="3">
        <v>40604</v>
      </c>
      <c r="B38" s="2" t="s">
        <v>112</v>
      </c>
      <c r="C38" s="2">
        <f t="shared" si="0"/>
        <v>877</v>
      </c>
      <c r="D38" s="2">
        <v>2</v>
      </c>
      <c r="E38" s="14">
        <v>70</v>
      </c>
      <c r="F38" s="2">
        <v>0</v>
      </c>
      <c r="G38" s="2">
        <v>0</v>
      </c>
    </row>
    <row r="39" spans="1:7" x14ac:dyDescent="0.25">
      <c r="A39" s="3">
        <v>40604</v>
      </c>
      <c r="B39" s="2" t="s">
        <v>112</v>
      </c>
      <c r="C39" s="2">
        <f t="shared" si="0"/>
        <v>878</v>
      </c>
      <c r="D39" s="2">
        <v>2</v>
      </c>
      <c r="E39" s="14">
        <v>49.5</v>
      </c>
      <c r="F39" s="2">
        <v>0</v>
      </c>
      <c r="G39" s="2">
        <v>0</v>
      </c>
    </row>
    <row r="40" spans="1:7" x14ac:dyDescent="0.25">
      <c r="A40" s="3">
        <v>40604</v>
      </c>
      <c r="B40" s="2" t="s">
        <v>112</v>
      </c>
      <c r="C40" s="2">
        <f t="shared" si="0"/>
        <v>879</v>
      </c>
      <c r="D40" s="2">
        <v>2</v>
      </c>
      <c r="E40" s="14">
        <v>71.2</v>
      </c>
      <c r="F40" s="2">
        <v>0</v>
      </c>
      <c r="G40" s="2">
        <v>0</v>
      </c>
    </row>
    <row r="41" spans="1:7" x14ac:dyDescent="0.25">
      <c r="A41" s="3">
        <v>40604</v>
      </c>
      <c r="B41" s="2" t="s">
        <v>112</v>
      </c>
      <c r="C41" s="2">
        <f t="shared" si="0"/>
        <v>880</v>
      </c>
      <c r="D41" s="2">
        <v>2</v>
      </c>
      <c r="E41" s="14">
        <v>63.4</v>
      </c>
      <c r="F41" s="2">
        <v>0</v>
      </c>
      <c r="G41" s="2">
        <v>0</v>
      </c>
    </row>
    <row r="42" spans="1:7" x14ac:dyDescent="0.25">
      <c r="A42" s="3">
        <v>40604</v>
      </c>
      <c r="B42" s="2" t="s">
        <v>112</v>
      </c>
      <c r="C42" s="2">
        <f t="shared" si="0"/>
        <v>881</v>
      </c>
      <c r="D42" s="2">
        <v>3</v>
      </c>
      <c r="E42" s="14">
        <v>83.7</v>
      </c>
      <c r="F42" s="2">
        <v>0</v>
      </c>
      <c r="G42" s="2">
        <v>0</v>
      </c>
    </row>
    <row r="43" spans="1:7" x14ac:dyDescent="0.25">
      <c r="A43" s="3">
        <v>40604</v>
      </c>
      <c r="B43" s="2" t="s">
        <v>112</v>
      </c>
      <c r="C43" s="2">
        <f t="shared" si="0"/>
        <v>882</v>
      </c>
      <c r="D43" s="2">
        <v>3</v>
      </c>
      <c r="E43" s="14">
        <v>67.599999999999994</v>
      </c>
      <c r="F43" s="2">
        <v>0</v>
      </c>
      <c r="G43" s="2">
        <v>0</v>
      </c>
    </row>
    <row r="44" spans="1:7" x14ac:dyDescent="0.25">
      <c r="A44" s="3">
        <v>40604</v>
      </c>
      <c r="B44" s="2" t="s">
        <v>112</v>
      </c>
      <c r="C44" s="2">
        <f t="shared" si="0"/>
        <v>883</v>
      </c>
      <c r="D44" s="2">
        <v>3</v>
      </c>
      <c r="E44" s="14">
        <v>70.5</v>
      </c>
      <c r="F44" s="2">
        <v>0</v>
      </c>
      <c r="G44" s="2">
        <v>0</v>
      </c>
    </row>
    <row r="45" spans="1:7" x14ac:dyDescent="0.25">
      <c r="A45" s="3">
        <v>40604</v>
      </c>
      <c r="B45" s="2" t="s">
        <v>112</v>
      </c>
      <c r="C45" s="2">
        <f t="shared" si="0"/>
        <v>884</v>
      </c>
      <c r="D45" s="2">
        <v>3</v>
      </c>
      <c r="E45" s="14">
        <v>54.3</v>
      </c>
      <c r="F45" s="2">
        <v>0</v>
      </c>
      <c r="G45" s="2">
        <v>0</v>
      </c>
    </row>
    <row r="46" spans="1:7" x14ac:dyDescent="0.25">
      <c r="A46" s="3">
        <v>40604</v>
      </c>
      <c r="B46" s="2" t="s">
        <v>112</v>
      </c>
      <c r="C46" s="2">
        <f t="shared" si="0"/>
        <v>885</v>
      </c>
      <c r="D46" s="2">
        <v>3</v>
      </c>
      <c r="E46" s="14">
        <v>69.3</v>
      </c>
      <c r="F46" s="2">
        <v>0</v>
      </c>
      <c r="G46" s="2">
        <v>0</v>
      </c>
    </row>
    <row r="47" spans="1:7" x14ac:dyDescent="0.25">
      <c r="A47" s="3">
        <v>40639</v>
      </c>
      <c r="B47" s="2" t="s">
        <v>112</v>
      </c>
      <c r="C47" s="2">
        <v>886</v>
      </c>
      <c r="D47" s="2">
        <v>1</v>
      </c>
      <c r="E47" s="14">
        <v>116.9</v>
      </c>
      <c r="F47" s="2">
        <v>0</v>
      </c>
      <c r="G47" s="2">
        <v>0</v>
      </c>
    </row>
    <row r="48" spans="1:7" x14ac:dyDescent="0.25">
      <c r="A48" s="3">
        <v>40639</v>
      </c>
      <c r="B48" s="2" t="s">
        <v>112</v>
      </c>
      <c r="C48" s="2">
        <f>C47+1</f>
        <v>887</v>
      </c>
      <c r="D48" s="2">
        <v>1</v>
      </c>
      <c r="E48" s="14">
        <v>62.2</v>
      </c>
      <c r="F48" s="2">
        <v>0</v>
      </c>
      <c r="G48" s="2">
        <v>0</v>
      </c>
    </row>
    <row r="49" spans="1:7" x14ac:dyDescent="0.25">
      <c r="A49" s="3">
        <v>40639</v>
      </c>
      <c r="B49" s="2" t="s">
        <v>112</v>
      </c>
      <c r="C49" s="2">
        <f t="shared" ref="C49:C61" si="1">C48+1</f>
        <v>888</v>
      </c>
      <c r="D49" s="2">
        <v>1</v>
      </c>
      <c r="E49" s="14">
        <v>67.599999999999994</v>
      </c>
      <c r="F49" s="2">
        <v>0.5</v>
      </c>
      <c r="G49" s="2">
        <v>1</v>
      </c>
    </row>
    <row r="50" spans="1:7" x14ac:dyDescent="0.25">
      <c r="A50" s="3">
        <v>40639</v>
      </c>
      <c r="B50" s="2" t="s">
        <v>112</v>
      </c>
      <c r="C50" s="2">
        <f t="shared" si="1"/>
        <v>889</v>
      </c>
      <c r="D50" s="2">
        <v>1</v>
      </c>
      <c r="E50" s="14">
        <v>48.2</v>
      </c>
      <c r="F50" s="2">
        <v>0.5</v>
      </c>
      <c r="G50" s="2">
        <v>0.5</v>
      </c>
    </row>
    <row r="51" spans="1:7" x14ac:dyDescent="0.25">
      <c r="A51" s="3">
        <v>40639</v>
      </c>
      <c r="B51" s="2" t="s">
        <v>112</v>
      </c>
      <c r="C51" s="2">
        <f t="shared" si="1"/>
        <v>890</v>
      </c>
      <c r="D51" s="2">
        <v>1</v>
      </c>
      <c r="E51" s="14">
        <v>77.599999999999994</v>
      </c>
      <c r="F51" s="2">
        <v>0</v>
      </c>
      <c r="G51" s="2">
        <v>0</v>
      </c>
    </row>
    <row r="52" spans="1:7" x14ac:dyDescent="0.25">
      <c r="A52" s="3">
        <v>40639</v>
      </c>
      <c r="B52" s="2" t="s">
        <v>112</v>
      </c>
      <c r="C52" s="2">
        <f t="shared" si="1"/>
        <v>891</v>
      </c>
      <c r="D52" s="2">
        <v>2</v>
      </c>
      <c r="E52" s="14">
        <v>47.9</v>
      </c>
      <c r="F52" s="2">
        <v>0</v>
      </c>
      <c r="G52" s="2">
        <v>0</v>
      </c>
    </row>
    <row r="53" spans="1:7" x14ac:dyDescent="0.25">
      <c r="A53" s="3">
        <v>40639</v>
      </c>
      <c r="B53" s="2" t="s">
        <v>112</v>
      </c>
      <c r="C53" s="2">
        <f t="shared" si="1"/>
        <v>892</v>
      </c>
      <c r="D53" s="2">
        <v>2</v>
      </c>
      <c r="E53" s="14">
        <v>48.7</v>
      </c>
      <c r="F53" s="2">
        <v>0</v>
      </c>
      <c r="G53" s="2">
        <v>0</v>
      </c>
    </row>
    <row r="54" spans="1:7" x14ac:dyDescent="0.25">
      <c r="A54" s="3">
        <v>40639</v>
      </c>
      <c r="B54" s="2" t="s">
        <v>112</v>
      </c>
      <c r="C54" s="2">
        <f t="shared" si="1"/>
        <v>893</v>
      </c>
      <c r="D54" s="2">
        <v>2</v>
      </c>
      <c r="E54" s="14">
        <v>84.4</v>
      </c>
      <c r="F54" s="2">
        <v>0</v>
      </c>
      <c r="G54" s="2">
        <v>0</v>
      </c>
    </row>
    <row r="55" spans="1:7" x14ac:dyDescent="0.25">
      <c r="A55" s="3">
        <v>40639</v>
      </c>
      <c r="B55" s="2" t="s">
        <v>112</v>
      </c>
      <c r="C55" s="2">
        <f t="shared" si="1"/>
        <v>894</v>
      </c>
      <c r="D55" s="2">
        <v>2</v>
      </c>
      <c r="E55" s="14">
        <v>60.4</v>
      </c>
      <c r="F55" s="2">
        <v>0</v>
      </c>
      <c r="G55" s="2">
        <v>0</v>
      </c>
    </row>
    <row r="56" spans="1:7" x14ac:dyDescent="0.25">
      <c r="A56" s="3">
        <v>40639</v>
      </c>
      <c r="B56" s="2" t="s">
        <v>112</v>
      </c>
      <c r="C56" s="2">
        <f t="shared" si="1"/>
        <v>895</v>
      </c>
      <c r="D56" s="2">
        <v>2</v>
      </c>
      <c r="E56" s="14">
        <v>58.8</v>
      </c>
      <c r="F56" s="2">
        <v>0</v>
      </c>
      <c r="G56" s="2">
        <v>0</v>
      </c>
    </row>
    <row r="57" spans="1:7" x14ac:dyDescent="0.25">
      <c r="A57" s="3">
        <v>40639</v>
      </c>
      <c r="B57" s="2" t="s">
        <v>112</v>
      </c>
      <c r="C57" s="2">
        <f t="shared" si="1"/>
        <v>896</v>
      </c>
      <c r="D57" s="2">
        <v>3</v>
      </c>
      <c r="E57" s="14">
        <v>65.5</v>
      </c>
      <c r="F57" s="2">
        <v>0</v>
      </c>
      <c r="G57" s="2">
        <v>0</v>
      </c>
    </row>
    <row r="58" spans="1:7" x14ac:dyDescent="0.25">
      <c r="A58" s="3">
        <v>40639</v>
      </c>
      <c r="B58" s="2" t="s">
        <v>112</v>
      </c>
      <c r="C58" s="2">
        <f t="shared" si="1"/>
        <v>897</v>
      </c>
      <c r="D58" s="2">
        <v>3</v>
      </c>
      <c r="E58" s="14">
        <v>58.8</v>
      </c>
      <c r="F58" s="2">
        <v>0</v>
      </c>
      <c r="G58" s="2">
        <v>0</v>
      </c>
    </row>
    <row r="59" spans="1:7" x14ac:dyDescent="0.25">
      <c r="A59" s="3">
        <v>40639</v>
      </c>
      <c r="B59" s="2" t="s">
        <v>112</v>
      </c>
      <c r="C59" s="2">
        <f t="shared" si="1"/>
        <v>898</v>
      </c>
      <c r="D59" s="2">
        <v>3</v>
      </c>
      <c r="E59" s="14">
        <v>41.1</v>
      </c>
      <c r="F59" s="2">
        <v>0</v>
      </c>
      <c r="G59" s="2">
        <v>0</v>
      </c>
    </row>
    <row r="60" spans="1:7" x14ac:dyDescent="0.25">
      <c r="A60" s="3">
        <v>40639</v>
      </c>
      <c r="B60" s="2" t="s">
        <v>112</v>
      </c>
      <c r="C60" s="2">
        <f t="shared" si="1"/>
        <v>899</v>
      </c>
      <c r="D60" s="2">
        <v>3</v>
      </c>
      <c r="E60" s="14">
        <v>67.5</v>
      </c>
      <c r="F60" s="2">
        <v>0</v>
      </c>
      <c r="G60" s="2">
        <v>0.5</v>
      </c>
    </row>
    <row r="61" spans="1:7" x14ac:dyDescent="0.25">
      <c r="A61" s="3">
        <v>40639</v>
      </c>
      <c r="B61" s="2" t="s">
        <v>112</v>
      </c>
      <c r="C61" s="2">
        <f t="shared" si="1"/>
        <v>900</v>
      </c>
      <c r="D61" s="2">
        <v>3</v>
      </c>
      <c r="E61" s="14">
        <v>47.7</v>
      </c>
      <c r="F61" s="2">
        <v>0</v>
      </c>
      <c r="G61" s="2">
        <v>0</v>
      </c>
    </row>
    <row r="62" spans="1:7" x14ac:dyDescent="0.25">
      <c r="A62" s="3">
        <v>40667</v>
      </c>
      <c r="B62" s="2" t="s">
        <v>112</v>
      </c>
      <c r="C62" s="2">
        <v>901</v>
      </c>
      <c r="D62" s="2">
        <v>1</v>
      </c>
      <c r="E62" s="14">
        <v>100</v>
      </c>
      <c r="F62" s="2">
        <v>0</v>
      </c>
      <c r="G62" s="2">
        <v>0</v>
      </c>
    </row>
    <row r="63" spans="1:7" x14ac:dyDescent="0.25">
      <c r="A63" s="3">
        <v>40667</v>
      </c>
      <c r="B63" s="2" t="s">
        <v>112</v>
      </c>
      <c r="C63" s="2">
        <f>C62+1</f>
        <v>902</v>
      </c>
      <c r="D63" s="2">
        <v>1</v>
      </c>
      <c r="E63" s="14">
        <v>95.6</v>
      </c>
      <c r="F63" s="2">
        <v>0.5</v>
      </c>
      <c r="G63" s="2">
        <v>0</v>
      </c>
    </row>
    <row r="64" spans="1:7" x14ac:dyDescent="0.25">
      <c r="A64" s="3">
        <v>40667</v>
      </c>
      <c r="B64" s="2" t="s">
        <v>112</v>
      </c>
      <c r="C64" s="2">
        <f t="shared" ref="C64:C76" si="2">C63+1</f>
        <v>903</v>
      </c>
      <c r="D64" s="2">
        <v>1</v>
      </c>
      <c r="E64" s="14">
        <v>81.2</v>
      </c>
      <c r="F64" s="2">
        <v>0</v>
      </c>
      <c r="G64" s="2">
        <v>0</v>
      </c>
    </row>
    <row r="65" spans="1:7" x14ac:dyDescent="0.25">
      <c r="A65" s="3">
        <v>40667</v>
      </c>
      <c r="B65" s="2" t="s">
        <v>112</v>
      </c>
      <c r="C65" s="2">
        <f t="shared" si="2"/>
        <v>904</v>
      </c>
      <c r="D65" s="2">
        <v>1</v>
      </c>
      <c r="E65" s="14">
        <v>75.5</v>
      </c>
      <c r="F65" s="2">
        <v>0.5</v>
      </c>
      <c r="G65" s="2">
        <v>0</v>
      </c>
    </row>
    <row r="66" spans="1:7" x14ac:dyDescent="0.25">
      <c r="A66" s="3">
        <v>40667</v>
      </c>
      <c r="B66" s="2" t="s">
        <v>112</v>
      </c>
      <c r="C66" s="2">
        <f t="shared" si="2"/>
        <v>905</v>
      </c>
      <c r="D66" s="2">
        <v>1</v>
      </c>
      <c r="E66" s="14">
        <v>70.400000000000006</v>
      </c>
      <c r="F66" s="2">
        <v>1</v>
      </c>
      <c r="G66" s="2">
        <v>1</v>
      </c>
    </row>
    <row r="67" spans="1:7" x14ac:dyDescent="0.25">
      <c r="A67" s="3">
        <v>40667</v>
      </c>
      <c r="B67" s="2" t="s">
        <v>112</v>
      </c>
      <c r="C67" s="2">
        <f t="shared" si="2"/>
        <v>906</v>
      </c>
      <c r="D67" s="2">
        <v>2</v>
      </c>
      <c r="E67" s="14">
        <v>77.5</v>
      </c>
      <c r="F67" s="2">
        <v>0</v>
      </c>
      <c r="G67" s="2">
        <v>0</v>
      </c>
    </row>
    <row r="68" spans="1:7" x14ac:dyDescent="0.25">
      <c r="A68" s="3">
        <v>40667</v>
      </c>
      <c r="B68" s="2" t="s">
        <v>112</v>
      </c>
      <c r="C68" s="2">
        <f t="shared" si="2"/>
        <v>907</v>
      </c>
      <c r="D68" s="2">
        <v>2</v>
      </c>
      <c r="E68" s="14">
        <v>76.400000000000006</v>
      </c>
      <c r="F68" s="2">
        <v>0</v>
      </c>
      <c r="G68" s="2">
        <v>0.5</v>
      </c>
    </row>
    <row r="69" spans="1:7" x14ac:dyDescent="0.25">
      <c r="A69" s="3">
        <v>40667</v>
      </c>
      <c r="B69" s="2" t="s">
        <v>112</v>
      </c>
      <c r="C69" s="2">
        <f t="shared" si="2"/>
        <v>908</v>
      </c>
      <c r="D69" s="2">
        <v>2</v>
      </c>
      <c r="E69" s="14">
        <v>68.400000000000006</v>
      </c>
      <c r="F69" s="2">
        <v>1</v>
      </c>
      <c r="G69" s="2">
        <v>2</v>
      </c>
    </row>
    <row r="70" spans="1:7" x14ac:dyDescent="0.25">
      <c r="A70" s="3">
        <v>40667</v>
      </c>
      <c r="B70" s="2" t="s">
        <v>112</v>
      </c>
      <c r="C70" s="2">
        <f t="shared" si="2"/>
        <v>909</v>
      </c>
      <c r="D70" s="2">
        <v>2</v>
      </c>
      <c r="E70" s="14">
        <v>56</v>
      </c>
      <c r="F70" s="2">
        <v>0</v>
      </c>
      <c r="G70" s="2">
        <v>0</v>
      </c>
    </row>
    <row r="71" spans="1:7" x14ac:dyDescent="0.25">
      <c r="A71" s="3">
        <v>40667</v>
      </c>
      <c r="B71" s="2" t="s">
        <v>112</v>
      </c>
      <c r="C71" s="2">
        <f t="shared" si="2"/>
        <v>910</v>
      </c>
      <c r="D71" s="2">
        <v>2</v>
      </c>
      <c r="E71" s="14">
        <v>61.3</v>
      </c>
      <c r="F71" s="2">
        <v>0</v>
      </c>
      <c r="G71" s="2">
        <v>0</v>
      </c>
    </row>
    <row r="72" spans="1:7" x14ac:dyDescent="0.25">
      <c r="A72" s="3">
        <v>40667</v>
      </c>
      <c r="B72" s="2" t="s">
        <v>112</v>
      </c>
      <c r="C72" s="2">
        <f t="shared" si="2"/>
        <v>911</v>
      </c>
      <c r="D72" s="2">
        <v>3</v>
      </c>
      <c r="E72" s="14">
        <v>77.099999999999994</v>
      </c>
      <c r="F72" s="2">
        <v>0</v>
      </c>
      <c r="G72" s="2">
        <v>0</v>
      </c>
    </row>
    <row r="73" spans="1:7" x14ac:dyDescent="0.25">
      <c r="A73" s="3">
        <v>40667</v>
      </c>
      <c r="B73" s="2" t="s">
        <v>112</v>
      </c>
      <c r="C73" s="2">
        <f t="shared" si="2"/>
        <v>912</v>
      </c>
      <c r="D73" s="2">
        <v>3</v>
      </c>
      <c r="E73" s="14">
        <v>65.5</v>
      </c>
      <c r="F73" s="2">
        <v>0</v>
      </c>
      <c r="G73" s="2">
        <v>0</v>
      </c>
    </row>
    <row r="74" spans="1:7" x14ac:dyDescent="0.25">
      <c r="A74" s="3">
        <v>40667</v>
      </c>
      <c r="B74" s="2" t="s">
        <v>112</v>
      </c>
      <c r="C74" s="2">
        <f t="shared" si="2"/>
        <v>913</v>
      </c>
      <c r="D74" s="2">
        <v>3</v>
      </c>
      <c r="E74" s="14">
        <v>53.9</v>
      </c>
      <c r="F74" s="2">
        <v>0</v>
      </c>
      <c r="G74" s="2">
        <v>0.5</v>
      </c>
    </row>
    <row r="75" spans="1:7" x14ac:dyDescent="0.25">
      <c r="A75" s="3">
        <v>40667</v>
      </c>
      <c r="B75" s="2" t="s">
        <v>112</v>
      </c>
      <c r="C75" s="2">
        <f t="shared" si="2"/>
        <v>914</v>
      </c>
      <c r="D75" s="2">
        <v>3</v>
      </c>
      <c r="E75" s="14">
        <v>48.3</v>
      </c>
      <c r="F75" s="2">
        <v>0</v>
      </c>
      <c r="G75" s="2">
        <v>0</v>
      </c>
    </row>
    <row r="76" spans="1:7" x14ac:dyDescent="0.25">
      <c r="A76" s="3">
        <v>40667</v>
      </c>
      <c r="B76" s="2" t="s">
        <v>112</v>
      </c>
      <c r="C76" s="2">
        <f t="shared" si="2"/>
        <v>915</v>
      </c>
      <c r="D76" s="2">
        <v>3</v>
      </c>
      <c r="E76" s="14">
        <v>56.9</v>
      </c>
      <c r="F76" s="2">
        <v>0</v>
      </c>
      <c r="G76" s="2">
        <v>0</v>
      </c>
    </row>
    <row r="77" spans="1:7" x14ac:dyDescent="0.25">
      <c r="A77" s="3">
        <v>40695</v>
      </c>
      <c r="B77" s="2" t="s">
        <v>112</v>
      </c>
      <c r="C77" s="2">
        <v>916</v>
      </c>
      <c r="D77" s="2">
        <v>1</v>
      </c>
      <c r="E77" s="14">
        <v>101.6</v>
      </c>
      <c r="F77" s="2">
        <v>0.5</v>
      </c>
      <c r="G77" s="2">
        <v>0.5</v>
      </c>
    </row>
    <row r="78" spans="1:7" x14ac:dyDescent="0.25">
      <c r="A78" s="3">
        <v>40695</v>
      </c>
      <c r="B78" s="2" t="s">
        <v>112</v>
      </c>
      <c r="C78" s="2">
        <v>917</v>
      </c>
      <c r="D78" s="2">
        <v>1</v>
      </c>
      <c r="E78" s="14">
        <v>119.5</v>
      </c>
      <c r="F78" s="2">
        <v>0.5</v>
      </c>
      <c r="G78" s="2">
        <v>0.5</v>
      </c>
    </row>
    <row r="79" spans="1:7" x14ac:dyDescent="0.25">
      <c r="A79" s="3">
        <v>40695</v>
      </c>
      <c r="B79" s="2" t="s">
        <v>112</v>
      </c>
      <c r="C79" s="2">
        <v>918</v>
      </c>
      <c r="D79" s="2">
        <v>1</v>
      </c>
      <c r="E79" s="14">
        <v>63.3</v>
      </c>
      <c r="F79" s="2">
        <v>0</v>
      </c>
      <c r="G79" s="2">
        <v>0</v>
      </c>
    </row>
    <row r="80" spans="1:7" x14ac:dyDescent="0.25">
      <c r="A80" s="3">
        <v>40695</v>
      </c>
      <c r="B80" s="2" t="s">
        <v>112</v>
      </c>
      <c r="C80" s="2">
        <v>919</v>
      </c>
      <c r="D80" s="2">
        <v>1</v>
      </c>
      <c r="E80" s="14">
        <v>88.5</v>
      </c>
      <c r="F80" s="2">
        <v>0.5</v>
      </c>
      <c r="G80" s="2">
        <v>0</v>
      </c>
    </row>
    <row r="81" spans="1:7" x14ac:dyDescent="0.25">
      <c r="A81" s="3">
        <v>40695</v>
      </c>
      <c r="B81" s="2" t="s">
        <v>112</v>
      </c>
      <c r="C81" s="2">
        <v>920</v>
      </c>
      <c r="D81" s="2">
        <v>1</v>
      </c>
      <c r="E81" s="14">
        <v>91.4</v>
      </c>
      <c r="F81" s="2">
        <v>0.5</v>
      </c>
      <c r="G81" s="2">
        <v>0.5</v>
      </c>
    </row>
    <row r="82" spans="1:7" x14ac:dyDescent="0.25">
      <c r="A82" s="3">
        <v>40695</v>
      </c>
      <c r="B82" s="2" t="s">
        <v>112</v>
      </c>
      <c r="C82" s="2">
        <v>921</v>
      </c>
      <c r="D82" s="2">
        <v>2</v>
      </c>
      <c r="E82" s="14">
        <v>62.8</v>
      </c>
      <c r="F82" s="2">
        <v>0</v>
      </c>
      <c r="G82" s="2">
        <v>0.5</v>
      </c>
    </row>
    <row r="83" spans="1:7" x14ac:dyDescent="0.25">
      <c r="A83" s="3">
        <v>40695</v>
      </c>
      <c r="B83" s="2" t="s">
        <v>112</v>
      </c>
      <c r="C83" s="2">
        <v>922</v>
      </c>
      <c r="D83" s="2">
        <v>2</v>
      </c>
      <c r="E83" s="14">
        <v>68.599999999999994</v>
      </c>
      <c r="F83" s="2">
        <v>0</v>
      </c>
      <c r="G83" s="2">
        <v>0</v>
      </c>
    </row>
    <row r="84" spans="1:7" x14ac:dyDescent="0.25">
      <c r="A84" s="3">
        <v>40695</v>
      </c>
      <c r="B84" s="2" t="s">
        <v>112</v>
      </c>
      <c r="C84" s="2">
        <v>923</v>
      </c>
      <c r="D84" s="2">
        <v>2</v>
      </c>
      <c r="E84" s="14">
        <v>64.900000000000006</v>
      </c>
      <c r="F84" s="2">
        <v>0</v>
      </c>
      <c r="G84" s="2">
        <v>0</v>
      </c>
    </row>
    <row r="85" spans="1:7" x14ac:dyDescent="0.25">
      <c r="A85" s="3">
        <v>40695</v>
      </c>
      <c r="B85" s="2" t="s">
        <v>112</v>
      </c>
      <c r="C85" s="2">
        <v>924</v>
      </c>
      <c r="D85" s="2">
        <v>2</v>
      </c>
      <c r="E85" s="14">
        <v>48.8</v>
      </c>
      <c r="F85" s="2">
        <v>0</v>
      </c>
      <c r="G85" s="2">
        <v>0</v>
      </c>
    </row>
    <row r="86" spans="1:7" x14ac:dyDescent="0.25">
      <c r="A86" s="3">
        <v>40695</v>
      </c>
      <c r="B86" s="2" t="s">
        <v>112</v>
      </c>
      <c r="C86" s="2">
        <v>925</v>
      </c>
      <c r="D86" s="2">
        <v>2</v>
      </c>
      <c r="E86" s="14">
        <v>49.8</v>
      </c>
      <c r="F86" s="2">
        <v>0</v>
      </c>
      <c r="G86" s="2">
        <v>0</v>
      </c>
    </row>
    <row r="87" spans="1:7" x14ac:dyDescent="0.25">
      <c r="A87" s="3">
        <v>40695</v>
      </c>
      <c r="B87" s="2" t="s">
        <v>112</v>
      </c>
      <c r="C87" s="2">
        <v>926</v>
      </c>
      <c r="D87" s="2">
        <v>3</v>
      </c>
      <c r="E87" s="14">
        <v>55.1</v>
      </c>
      <c r="F87" s="2">
        <v>0</v>
      </c>
      <c r="G87" s="2">
        <v>0</v>
      </c>
    </row>
    <row r="88" spans="1:7" x14ac:dyDescent="0.25">
      <c r="A88" s="3">
        <v>40695</v>
      </c>
      <c r="B88" s="2" t="s">
        <v>112</v>
      </c>
      <c r="C88" s="2">
        <v>927</v>
      </c>
      <c r="D88" s="2">
        <v>3</v>
      </c>
      <c r="E88" s="14">
        <v>72.8</v>
      </c>
      <c r="F88" s="2">
        <v>0</v>
      </c>
      <c r="G88" s="2">
        <v>0</v>
      </c>
    </row>
    <row r="89" spans="1:7" x14ac:dyDescent="0.25">
      <c r="A89" s="3">
        <v>40695</v>
      </c>
      <c r="B89" s="2" t="s">
        <v>112</v>
      </c>
      <c r="C89" s="2">
        <v>928</v>
      </c>
      <c r="D89" s="2">
        <v>3</v>
      </c>
      <c r="E89" s="14">
        <v>70.3</v>
      </c>
      <c r="F89" s="2">
        <v>0</v>
      </c>
      <c r="G89" s="2">
        <v>0</v>
      </c>
    </row>
    <row r="90" spans="1:7" x14ac:dyDescent="0.25">
      <c r="A90" s="3">
        <v>40695</v>
      </c>
      <c r="B90" s="2" t="s">
        <v>112</v>
      </c>
      <c r="C90" s="2">
        <v>929</v>
      </c>
      <c r="D90" s="2">
        <v>3</v>
      </c>
      <c r="E90" s="14">
        <v>86.2</v>
      </c>
      <c r="F90" s="2">
        <v>0</v>
      </c>
      <c r="G90" s="2">
        <v>0.5</v>
      </c>
    </row>
    <row r="91" spans="1:7" x14ac:dyDescent="0.25">
      <c r="A91" s="3">
        <v>40695</v>
      </c>
      <c r="B91" s="2" t="s">
        <v>112</v>
      </c>
      <c r="C91" s="2">
        <v>930</v>
      </c>
      <c r="D91" s="2">
        <v>3</v>
      </c>
      <c r="E91" s="14">
        <v>59.7</v>
      </c>
      <c r="F91" s="2">
        <v>0</v>
      </c>
      <c r="G91" s="2">
        <v>0.5</v>
      </c>
    </row>
    <row r="92" spans="1:7" x14ac:dyDescent="0.25">
      <c r="A92" s="3">
        <v>40730</v>
      </c>
      <c r="B92" s="2" t="s">
        <v>112</v>
      </c>
      <c r="C92" s="2">
        <v>931</v>
      </c>
      <c r="D92" s="2">
        <v>1</v>
      </c>
      <c r="E92" s="14">
        <v>81</v>
      </c>
      <c r="F92" s="2">
        <v>1</v>
      </c>
      <c r="G92" s="2">
        <v>2</v>
      </c>
    </row>
    <row r="93" spans="1:7" x14ac:dyDescent="0.25">
      <c r="A93" s="3">
        <v>40730</v>
      </c>
      <c r="B93" s="2" t="s">
        <v>112</v>
      </c>
      <c r="C93" s="2">
        <f>C92+1</f>
        <v>932</v>
      </c>
      <c r="D93" s="2">
        <v>1</v>
      </c>
      <c r="E93" s="14">
        <v>86</v>
      </c>
      <c r="F93" s="2">
        <v>0</v>
      </c>
      <c r="G93" s="2">
        <v>0.5</v>
      </c>
    </row>
    <row r="94" spans="1:7" x14ac:dyDescent="0.25">
      <c r="A94" s="3">
        <v>40730</v>
      </c>
      <c r="B94" s="2" t="s">
        <v>112</v>
      </c>
      <c r="C94" s="2">
        <f t="shared" ref="C94:C106" si="3">C93+1</f>
        <v>933</v>
      </c>
      <c r="D94" s="2">
        <v>1</v>
      </c>
      <c r="E94" s="14">
        <v>61.4</v>
      </c>
      <c r="F94" s="2">
        <v>0.5</v>
      </c>
      <c r="G94" s="2">
        <v>0.5</v>
      </c>
    </row>
    <row r="95" spans="1:7" x14ac:dyDescent="0.25">
      <c r="A95" s="3">
        <v>40730</v>
      </c>
      <c r="B95" s="2" t="s">
        <v>112</v>
      </c>
      <c r="C95" s="2">
        <f t="shared" si="3"/>
        <v>934</v>
      </c>
      <c r="D95" s="2">
        <v>1</v>
      </c>
      <c r="E95" s="14">
        <v>89.2</v>
      </c>
      <c r="F95" s="2">
        <v>0.5</v>
      </c>
      <c r="G95" s="2">
        <v>0.5</v>
      </c>
    </row>
    <row r="96" spans="1:7" x14ac:dyDescent="0.25">
      <c r="A96" s="3">
        <v>40730</v>
      </c>
      <c r="B96" s="2" t="s">
        <v>112</v>
      </c>
      <c r="C96" s="2">
        <f t="shared" si="3"/>
        <v>935</v>
      </c>
      <c r="D96" s="2">
        <v>1</v>
      </c>
      <c r="E96" s="14">
        <v>49.5</v>
      </c>
      <c r="F96" s="2">
        <v>2</v>
      </c>
      <c r="G96" s="2">
        <v>2</v>
      </c>
    </row>
    <row r="97" spans="1:7" x14ac:dyDescent="0.25">
      <c r="A97" s="3">
        <v>40730</v>
      </c>
      <c r="B97" s="2" t="s">
        <v>112</v>
      </c>
      <c r="C97" s="2">
        <f t="shared" si="3"/>
        <v>936</v>
      </c>
      <c r="D97" s="2">
        <v>2</v>
      </c>
      <c r="E97" s="14">
        <v>68.400000000000006</v>
      </c>
      <c r="F97" s="2">
        <v>2</v>
      </c>
      <c r="G97" s="2">
        <v>2</v>
      </c>
    </row>
    <row r="98" spans="1:7" x14ac:dyDescent="0.25">
      <c r="A98" s="3">
        <v>40730</v>
      </c>
      <c r="B98" s="2" t="s">
        <v>112</v>
      </c>
      <c r="C98" s="2">
        <f t="shared" si="3"/>
        <v>937</v>
      </c>
      <c r="D98" s="2">
        <v>2</v>
      </c>
      <c r="E98" s="14">
        <v>52.8</v>
      </c>
      <c r="F98" s="2">
        <v>0.5</v>
      </c>
      <c r="G98" s="2">
        <v>0</v>
      </c>
    </row>
    <row r="99" spans="1:7" x14ac:dyDescent="0.25">
      <c r="A99" s="3">
        <v>40730</v>
      </c>
      <c r="B99" s="2" t="s">
        <v>112</v>
      </c>
      <c r="C99" s="2">
        <f t="shared" si="3"/>
        <v>938</v>
      </c>
      <c r="D99" s="2">
        <v>2</v>
      </c>
      <c r="E99" s="14">
        <v>60.9</v>
      </c>
      <c r="F99" s="2">
        <v>0.5</v>
      </c>
      <c r="G99" s="2">
        <v>0</v>
      </c>
    </row>
    <row r="100" spans="1:7" x14ac:dyDescent="0.25">
      <c r="A100" s="3">
        <v>40730</v>
      </c>
      <c r="B100" s="2" t="s">
        <v>112</v>
      </c>
      <c r="C100" s="2">
        <f t="shared" si="3"/>
        <v>939</v>
      </c>
      <c r="D100" s="2">
        <v>2</v>
      </c>
      <c r="E100" s="14">
        <v>67.099999999999994</v>
      </c>
      <c r="F100" s="2">
        <v>1</v>
      </c>
      <c r="G100" s="2">
        <v>1</v>
      </c>
    </row>
    <row r="101" spans="1:7" x14ac:dyDescent="0.25">
      <c r="A101" s="3">
        <v>40730</v>
      </c>
      <c r="B101" s="2" t="s">
        <v>112</v>
      </c>
      <c r="C101" s="2">
        <f t="shared" si="3"/>
        <v>940</v>
      </c>
      <c r="D101" s="2">
        <v>2</v>
      </c>
      <c r="E101" s="14">
        <v>58.3</v>
      </c>
      <c r="F101" s="2">
        <v>0</v>
      </c>
      <c r="G101" s="2">
        <v>0</v>
      </c>
    </row>
    <row r="102" spans="1:7" x14ac:dyDescent="0.25">
      <c r="A102" s="3">
        <v>40730</v>
      </c>
      <c r="B102" s="2" t="s">
        <v>112</v>
      </c>
      <c r="C102" s="2">
        <f t="shared" si="3"/>
        <v>941</v>
      </c>
      <c r="D102" s="2">
        <v>3</v>
      </c>
      <c r="E102" s="14">
        <v>82</v>
      </c>
      <c r="F102" s="2">
        <v>0</v>
      </c>
      <c r="G102" s="2">
        <v>0</v>
      </c>
    </row>
    <row r="103" spans="1:7" x14ac:dyDescent="0.25">
      <c r="A103" s="3">
        <v>40730</v>
      </c>
      <c r="B103" s="2" t="s">
        <v>112</v>
      </c>
      <c r="C103" s="2">
        <f t="shared" si="3"/>
        <v>942</v>
      </c>
      <c r="D103" s="2">
        <v>3</v>
      </c>
      <c r="E103" s="14">
        <v>87.4</v>
      </c>
      <c r="F103" s="2">
        <v>0</v>
      </c>
      <c r="G103" s="2">
        <v>0</v>
      </c>
    </row>
    <row r="104" spans="1:7" x14ac:dyDescent="0.25">
      <c r="A104" s="3">
        <v>40730</v>
      </c>
      <c r="B104" s="2" t="s">
        <v>112</v>
      </c>
      <c r="C104" s="2">
        <f t="shared" si="3"/>
        <v>943</v>
      </c>
      <c r="D104" s="2">
        <v>3</v>
      </c>
      <c r="E104" s="14">
        <v>79.5</v>
      </c>
      <c r="F104" s="2">
        <v>2</v>
      </c>
      <c r="G104" s="2">
        <v>3</v>
      </c>
    </row>
    <row r="105" spans="1:7" x14ac:dyDescent="0.25">
      <c r="A105" s="3">
        <v>40730</v>
      </c>
      <c r="B105" s="2" t="s">
        <v>112</v>
      </c>
      <c r="C105" s="2">
        <f t="shared" si="3"/>
        <v>944</v>
      </c>
      <c r="D105" s="2">
        <v>3</v>
      </c>
      <c r="E105" s="14">
        <v>81.2</v>
      </c>
      <c r="F105" s="2">
        <v>1</v>
      </c>
      <c r="G105" s="2">
        <v>0.5</v>
      </c>
    </row>
    <row r="106" spans="1:7" x14ac:dyDescent="0.25">
      <c r="A106" s="3">
        <v>40730</v>
      </c>
      <c r="B106" s="2" t="s">
        <v>112</v>
      </c>
      <c r="C106" s="2">
        <f t="shared" si="3"/>
        <v>945</v>
      </c>
      <c r="D106" s="2">
        <v>3</v>
      </c>
      <c r="E106" s="14">
        <v>51.4</v>
      </c>
      <c r="F106" s="2">
        <v>0.5</v>
      </c>
      <c r="G106" s="2">
        <v>0.5</v>
      </c>
    </row>
    <row r="107" spans="1:7" x14ac:dyDescent="0.25">
      <c r="A107" s="3">
        <v>40757</v>
      </c>
      <c r="B107" s="2" t="s">
        <v>112</v>
      </c>
      <c r="C107" s="2">
        <v>946</v>
      </c>
      <c r="D107" s="2">
        <v>1</v>
      </c>
      <c r="E107" s="14">
        <v>91.4</v>
      </c>
      <c r="F107" s="2">
        <v>2</v>
      </c>
      <c r="G107" s="2">
        <v>2</v>
      </c>
    </row>
    <row r="108" spans="1:7" x14ac:dyDescent="0.25">
      <c r="A108" s="3">
        <v>40757</v>
      </c>
      <c r="B108" s="2" t="s">
        <v>112</v>
      </c>
      <c r="C108" s="2">
        <f>C107+1</f>
        <v>947</v>
      </c>
      <c r="D108" s="2">
        <v>1</v>
      </c>
      <c r="E108" s="14">
        <v>119.8</v>
      </c>
      <c r="F108" s="2">
        <v>1</v>
      </c>
      <c r="G108" s="2">
        <v>1</v>
      </c>
    </row>
    <row r="109" spans="1:7" x14ac:dyDescent="0.25">
      <c r="A109" s="3">
        <v>40757</v>
      </c>
      <c r="B109" s="2" t="s">
        <v>112</v>
      </c>
      <c r="C109" s="2">
        <f t="shared" ref="C109:C121" si="4">C108+1</f>
        <v>948</v>
      </c>
      <c r="D109" s="2">
        <v>1</v>
      </c>
      <c r="E109" s="14">
        <v>64.8</v>
      </c>
      <c r="F109" s="2">
        <v>0</v>
      </c>
      <c r="G109" s="2">
        <v>0.5</v>
      </c>
    </row>
    <row r="110" spans="1:7" x14ac:dyDescent="0.25">
      <c r="A110" s="3">
        <v>40757</v>
      </c>
      <c r="B110" s="2" t="s">
        <v>112</v>
      </c>
      <c r="C110" s="2">
        <f t="shared" si="4"/>
        <v>949</v>
      </c>
      <c r="D110" s="2">
        <v>1</v>
      </c>
      <c r="E110" s="14">
        <v>73.599999999999994</v>
      </c>
      <c r="F110" s="2">
        <v>3</v>
      </c>
      <c r="G110" s="2">
        <v>3</v>
      </c>
    </row>
    <row r="111" spans="1:7" x14ac:dyDescent="0.25">
      <c r="A111" s="3">
        <v>40757</v>
      </c>
      <c r="B111" s="2" t="s">
        <v>112</v>
      </c>
      <c r="C111" s="2">
        <f t="shared" si="4"/>
        <v>950</v>
      </c>
      <c r="D111" s="2">
        <v>1</v>
      </c>
      <c r="E111" s="14">
        <v>89.9</v>
      </c>
      <c r="F111" s="2">
        <v>4</v>
      </c>
      <c r="G111" s="2">
        <v>3</v>
      </c>
    </row>
    <row r="112" spans="1:7" x14ac:dyDescent="0.25">
      <c r="A112" s="3">
        <v>40757</v>
      </c>
      <c r="B112" s="2" t="s">
        <v>112</v>
      </c>
      <c r="C112" s="2">
        <f t="shared" si="4"/>
        <v>951</v>
      </c>
      <c r="D112" s="2">
        <v>2</v>
      </c>
      <c r="E112" s="14">
        <v>83.8</v>
      </c>
      <c r="F112" s="2">
        <v>0.5</v>
      </c>
      <c r="G112" s="2">
        <v>0.5</v>
      </c>
    </row>
    <row r="113" spans="1:7" x14ac:dyDescent="0.25">
      <c r="A113" s="3">
        <v>40757</v>
      </c>
      <c r="B113" s="2" t="s">
        <v>112</v>
      </c>
      <c r="C113" s="2">
        <f t="shared" si="4"/>
        <v>952</v>
      </c>
      <c r="D113" s="2">
        <v>2</v>
      </c>
      <c r="E113" s="14">
        <v>74.099999999999994</v>
      </c>
      <c r="F113" s="2">
        <v>1</v>
      </c>
      <c r="G113" s="2">
        <v>1</v>
      </c>
    </row>
    <row r="114" spans="1:7" x14ac:dyDescent="0.25">
      <c r="A114" s="3">
        <v>40757</v>
      </c>
      <c r="B114" s="2" t="s">
        <v>112</v>
      </c>
      <c r="C114" s="2">
        <f t="shared" si="4"/>
        <v>953</v>
      </c>
      <c r="D114" s="2">
        <v>2</v>
      </c>
      <c r="E114" s="14">
        <v>61</v>
      </c>
      <c r="F114" s="2">
        <v>0.5</v>
      </c>
      <c r="G114" s="2">
        <v>0</v>
      </c>
    </row>
    <row r="115" spans="1:7" x14ac:dyDescent="0.25">
      <c r="A115" s="3">
        <v>40757</v>
      </c>
      <c r="B115" s="2" t="s">
        <v>112</v>
      </c>
      <c r="C115" s="2">
        <f t="shared" si="4"/>
        <v>954</v>
      </c>
      <c r="D115" s="2">
        <v>2</v>
      </c>
      <c r="E115" s="14">
        <v>50.6</v>
      </c>
      <c r="F115" s="2">
        <v>0</v>
      </c>
      <c r="G115" s="2">
        <v>0.5</v>
      </c>
    </row>
    <row r="116" spans="1:7" x14ac:dyDescent="0.25">
      <c r="A116" s="3">
        <v>40757</v>
      </c>
      <c r="B116" s="2" t="s">
        <v>112</v>
      </c>
      <c r="C116" s="2">
        <f t="shared" si="4"/>
        <v>955</v>
      </c>
      <c r="D116" s="2">
        <v>2</v>
      </c>
      <c r="E116" s="14">
        <v>67.2</v>
      </c>
      <c r="F116" s="2">
        <v>0</v>
      </c>
      <c r="G116" s="2">
        <v>0</v>
      </c>
    </row>
    <row r="117" spans="1:7" x14ac:dyDescent="0.25">
      <c r="A117" s="3">
        <v>40757</v>
      </c>
      <c r="B117" s="2" t="s">
        <v>112</v>
      </c>
      <c r="C117" s="2">
        <f t="shared" si="4"/>
        <v>956</v>
      </c>
      <c r="D117" s="2">
        <v>3</v>
      </c>
      <c r="E117" s="14">
        <v>61.2</v>
      </c>
      <c r="F117" s="2">
        <v>0</v>
      </c>
      <c r="G117" s="2">
        <v>0</v>
      </c>
    </row>
    <row r="118" spans="1:7" x14ac:dyDescent="0.25">
      <c r="A118" s="3">
        <v>40757</v>
      </c>
      <c r="B118" s="2" t="s">
        <v>112</v>
      </c>
      <c r="C118" s="2">
        <f t="shared" si="4"/>
        <v>957</v>
      </c>
      <c r="D118" s="2">
        <v>3</v>
      </c>
      <c r="E118" s="14">
        <v>75.400000000000006</v>
      </c>
      <c r="F118" s="2">
        <v>0</v>
      </c>
      <c r="G118" s="2">
        <v>0</v>
      </c>
    </row>
    <row r="119" spans="1:7" x14ac:dyDescent="0.25">
      <c r="A119" s="3">
        <v>40757</v>
      </c>
      <c r="B119" s="2" t="s">
        <v>112</v>
      </c>
      <c r="C119" s="2">
        <f t="shared" si="4"/>
        <v>958</v>
      </c>
      <c r="D119" s="2">
        <v>3</v>
      </c>
      <c r="E119" s="14">
        <v>52.3</v>
      </c>
      <c r="F119" s="2">
        <v>0</v>
      </c>
      <c r="G119" s="2">
        <v>0.5</v>
      </c>
    </row>
    <row r="120" spans="1:7" x14ac:dyDescent="0.25">
      <c r="A120" s="3">
        <v>40757</v>
      </c>
      <c r="B120" s="2" t="s">
        <v>112</v>
      </c>
      <c r="C120" s="2">
        <f t="shared" si="4"/>
        <v>959</v>
      </c>
      <c r="D120" s="2">
        <v>3</v>
      </c>
      <c r="E120" s="14">
        <v>52.5</v>
      </c>
      <c r="F120" s="2">
        <v>0</v>
      </c>
      <c r="G120" s="2">
        <v>0.5</v>
      </c>
    </row>
    <row r="121" spans="1:7" x14ac:dyDescent="0.25">
      <c r="A121" s="3">
        <v>40757</v>
      </c>
      <c r="B121" s="2" t="s">
        <v>112</v>
      </c>
      <c r="C121" s="2">
        <f t="shared" si="4"/>
        <v>960</v>
      </c>
      <c r="D121" s="2">
        <v>3</v>
      </c>
      <c r="E121" s="14">
        <v>59.3</v>
      </c>
      <c r="F121" s="2">
        <v>0</v>
      </c>
      <c r="G121" s="2">
        <v>0</v>
      </c>
    </row>
    <row r="122" spans="1:7" x14ac:dyDescent="0.25">
      <c r="A122" s="3">
        <v>40793</v>
      </c>
      <c r="B122" s="2" t="s">
        <v>112</v>
      </c>
      <c r="C122" s="2">
        <v>961</v>
      </c>
      <c r="D122" s="2">
        <v>1</v>
      </c>
      <c r="E122" s="14">
        <v>85.5</v>
      </c>
      <c r="F122" s="2">
        <v>0.5</v>
      </c>
      <c r="G122" s="2">
        <v>0.5</v>
      </c>
    </row>
    <row r="123" spans="1:7" x14ac:dyDescent="0.25">
      <c r="A123" s="3">
        <v>40793</v>
      </c>
      <c r="B123" s="2" t="s">
        <v>112</v>
      </c>
      <c r="C123" s="2">
        <v>962</v>
      </c>
      <c r="D123" s="2">
        <v>1</v>
      </c>
      <c r="E123" s="14">
        <v>68</v>
      </c>
      <c r="F123" s="2">
        <v>0.5</v>
      </c>
      <c r="G123" s="2">
        <v>1</v>
      </c>
    </row>
    <row r="124" spans="1:7" x14ac:dyDescent="0.25">
      <c r="A124" s="3">
        <v>40793</v>
      </c>
      <c r="B124" s="2" t="s">
        <v>112</v>
      </c>
      <c r="C124" s="2">
        <v>963</v>
      </c>
      <c r="D124" s="2">
        <v>1</v>
      </c>
      <c r="E124" s="14">
        <v>53.1</v>
      </c>
      <c r="F124" s="2">
        <v>2</v>
      </c>
      <c r="G124" s="2">
        <v>2</v>
      </c>
    </row>
    <row r="125" spans="1:7" x14ac:dyDescent="0.25">
      <c r="A125" s="3">
        <v>40793</v>
      </c>
      <c r="B125" s="2" t="s">
        <v>112</v>
      </c>
      <c r="C125" s="2">
        <v>964</v>
      </c>
      <c r="D125" s="2">
        <v>1</v>
      </c>
      <c r="E125" s="14">
        <v>80.7</v>
      </c>
      <c r="F125" s="2">
        <v>0</v>
      </c>
      <c r="G125" s="2">
        <v>0</v>
      </c>
    </row>
    <row r="126" spans="1:7" x14ac:dyDescent="0.25">
      <c r="A126" s="3">
        <v>40793</v>
      </c>
      <c r="B126" s="2" t="s">
        <v>112</v>
      </c>
      <c r="C126" s="2">
        <v>965</v>
      </c>
      <c r="D126" s="2">
        <v>1</v>
      </c>
      <c r="E126" s="14">
        <v>73.7</v>
      </c>
      <c r="F126" s="2">
        <v>0</v>
      </c>
      <c r="G126" s="2">
        <v>0</v>
      </c>
    </row>
    <row r="127" spans="1:7" x14ac:dyDescent="0.25">
      <c r="A127" s="3">
        <v>40793</v>
      </c>
      <c r="B127" s="2" t="s">
        <v>112</v>
      </c>
      <c r="C127" s="2">
        <v>966</v>
      </c>
      <c r="D127" s="2">
        <v>2</v>
      </c>
      <c r="E127" s="14">
        <v>70.8</v>
      </c>
      <c r="F127" s="2">
        <v>0</v>
      </c>
      <c r="G127" s="2">
        <v>0</v>
      </c>
    </row>
    <row r="128" spans="1:7" x14ac:dyDescent="0.25">
      <c r="A128" s="3">
        <v>40793</v>
      </c>
      <c r="B128" s="2" t="s">
        <v>112</v>
      </c>
      <c r="C128" s="2">
        <v>967</v>
      </c>
      <c r="D128" s="2">
        <v>2</v>
      </c>
      <c r="E128" s="14">
        <v>74.400000000000006</v>
      </c>
      <c r="F128" s="2">
        <v>0</v>
      </c>
      <c r="G128" s="2">
        <v>0.5</v>
      </c>
    </row>
    <row r="129" spans="1:7" x14ac:dyDescent="0.25">
      <c r="A129" s="3">
        <v>40793</v>
      </c>
      <c r="B129" s="2" t="s">
        <v>112</v>
      </c>
      <c r="C129" s="2">
        <v>968</v>
      </c>
      <c r="D129" s="2">
        <v>2</v>
      </c>
      <c r="E129" s="14">
        <v>82.3</v>
      </c>
      <c r="F129" s="2">
        <v>0</v>
      </c>
      <c r="G129" s="2">
        <v>0.5</v>
      </c>
    </row>
    <row r="130" spans="1:7" x14ac:dyDescent="0.25">
      <c r="A130" s="3">
        <v>40793</v>
      </c>
      <c r="B130" s="2" t="s">
        <v>112</v>
      </c>
      <c r="C130" s="2">
        <v>969</v>
      </c>
      <c r="D130" s="2">
        <v>2</v>
      </c>
      <c r="E130" s="14">
        <v>57</v>
      </c>
      <c r="F130" s="2">
        <v>0.5</v>
      </c>
      <c r="G130" s="2">
        <v>0.5</v>
      </c>
    </row>
    <row r="131" spans="1:7" x14ac:dyDescent="0.25">
      <c r="A131" s="3">
        <v>40793</v>
      </c>
      <c r="B131" s="2" t="s">
        <v>112</v>
      </c>
      <c r="C131" s="2">
        <v>970</v>
      </c>
      <c r="D131" s="2">
        <v>2</v>
      </c>
      <c r="E131" s="14">
        <v>61.6</v>
      </c>
      <c r="F131" s="2">
        <v>0</v>
      </c>
      <c r="G131" s="2">
        <v>0</v>
      </c>
    </row>
    <row r="132" spans="1:7" x14ac:dyDescent="0.25">
      <c r="A132" s="3">
        <v>40793</v>
      </c>
      <c r="B132" s="2" t="s">
        <v>112</v>
      </c>
      <c r="C132" s="2">
        <v>971</v>
      </c>
      <c r="D132" s="2">
        <v>3</v>
      </c>
      <c r="E132" s="14">
        <v>72.099999999999994</v>
      </c>
      <c r="F132" s="2">
        <v>0</v>
      </c>
      <c r="G132" s="2">
        <v>0.5</v>
      </c>
    </row>
    <row r="133" spans="1:7" x14ac:dyDescent="0.25">
      <c r="A133" s="3">
        <v>40793</v>
      </c>
      <c r="B133" s="2" t="s">
        <v>112</v>
      </c>
      <c r="C133" s="2">
        <v>972</v>
      </c>
      <c r="D133" s="2">
        <v>3</v>
      </c>
      <c r="E133" s="14">
        <v>56.3</v>
      </c>
      <c r="F133" s="2">
        <v>0</v>
      </c>
      <c r="G133" s="2">
        <v>0.5</v>
      </c>
    </row>
    <row r="134" spans="1:7" x14ac:dyDescent="0.25">
      <c r="A134" s="3">
        <v>40793</v>
      </c>
      <c r="B134" s="2" t="s">
        <v>112</v>
      </c>
      <c r="C134" s="2">
        <v>973</v>
      </c>
      <c r="D134" s="2">
        <v>3</v>
      </c>
      <c r="E134" s="14">
        <v>73.599999999999994</v>
      </c>
      <c r="F134" s="2">
        <v>0</v>
      </c>
      <c r="G134" s="2">
        <v>0</v>
      </c>
    </row>
    <row r="135" spans="1:7" x14ac:dyDescent="0.25">
      <c r="A135" s="3">
        <v>40793</v>
      </c>
      <c r="B135" s="2" t="s">
        <v>112</v>
      </c>
      <c r="C135" s="2">
        <v>974</v>
      </c>
      <c r="D135" s="2">
        <v>3</v>
      </c>
      <c r="E135" s="14">
        <v>68.2</v>
      </c>
      <c r="F135" s="2">
        <v>0</v>
      </c>
      <c r="G135" s="2">
        <v>0</v>
      </c>
    </row>
    <row r="136" spans="1:7" x14ac:dyDescent="0.25">
      <c r="A136" s="3">
        <v>40793</v>
      </c>
      <c r="B136" s="2" t="s">
        <v>112</v>
      </c>
      <c r="C136" s="2">
        <v>975</v>
      </c>
      <c r="D136" s="2">
        <v>3</v>
      </c>
      <c r="E136" s="14">
        <v>58.5</v>
      </c>
      <c r="F136" s="2">
        <v>1</v>
      </c>
      <c r="G136" s="2">
        <v>0.5</v>
      </c>
    </row>
    <row r="137" spans="1:7" x14ac:dyDescent="0.25">
      <c r="A137" s="3">
        <v>40821</v>
      </c>
      <c r="B137" s="2" t="s">
        <v>112</v>
      </c>
      <c r="C137" s="2">
        <v>976</v>
      </c>
      <c r="D137" s="2">
        <v>1</v>
      </c>
      <c r="E137" s="14">
        <v>57.4</v>
      </c>
      <c r="F137" s="2">
        <v>0</v>
      </c>
      <c r="G137" s="2">
        <v>0.5</v>
      </c>
    </row>
    <row r="138" spans="1:7" x14ac:dyDescent="0.25">
      <c r="A138" s="3">
        <v>40821</v>
      </c>
      <c r="B138" s="2" t="s">
        <v>112</v>
      </c>
      <c r="C138" s="2">
        <v>977</v>
      </c>
      <c r="D138" s="2">
        <v>1</v>
      </c>
      <c r="E138" s="14">
        <v>51</v>
      </c>
      <c r="F138" s="2">
        <v>1</v>
      </c>
      <c r="G138" s="2">
        <v>1</v>
      </c>
    </row>
    <row r="139" spans="1:7" x14ac:dyDescent="0.25">
      <c r="A139" s="3">
        <v>40821</v>
      </c>
      <c r="B139" s="2" t="s">
        <v>112</v>
      </c>
      <c r="C139" s="2">
        <v>978</v>
      </c>
      <c r="D139" s="2">
        <v>1</v>
      </c>
      <c r="E139" s="14">
        <v>81.900000000000006</v>
      </c>
      <c r="F139" s="2">
        <v>1</v>
      </c>
      <c r="G139" s="2">
        <v>1</v>
      </c>
    </row>
    <row r="140" spans="1:7" x14ac:dyDescent="0.25">
      <c r="A140" s="3">
        <v>40821</v>
      </c>
      <c r="B140" s="2" t="s">
        <v>112</v>
      </c>
      <c r="C140" s="2">
        <v>979</v>
      </c>
      <c r="D140" s="2">
        <v>1</v>
      </c>
      <c r="E140" s="14">
        <v>43.2</v>
      </c>
      <c r="F140" s="2">
        <v>2</v>
      </c>
      <c r="G140" s="2">
        <v>2</v>
      </c>
    </row>
    <row r="141" spans="1:7" x14ac:dyDescent="0.25">
      <c r="A141" s="3">
        <v>40821</v>
      </c>
      <c r="B141" s="2" t="s">
        <v>112</v>
      </c>
      <c r="C141" s="2">
        <v>980</v>
      </c>
      <c r="D141" s="2">
        <v>1</v>
      </c>
      <c r="E141" s="14">
        <v>57.7</v>
      </c>
      <c r="F141" s="2">
        <v>0.5</v>
      </c>
      <c r="G141" s="2">
        <v>0.5</v>
      </c>
    </row>
    <row r="142" spans="1:7" x14ac:dyDescent="0.25">
      <c r="A142" s="3">
        <v>40821</v>
      </c>
      <c r="B142" s="2" t="s">
        <v>112</v>
      </c>
      <c r="C142" s="2">
        <v>981</v>
      </c>
      <c r="D142" s="2">
        <v>2</v>
      </c>
      <c r="E142" s="14">
        <v>68.3</v>
      </c>
      <c r="F142" s="2">
        <v>0</v>
      </c>
      <c r="G142" s="2">
        <v>0</v>
      </c>
    </row>
    <row r="143" spans="1:7" x14ac:dyDescent="0.25">
      <c r="A143" s="3">
        <v>40821</v>
      </c>
      <c r="B143" s="2" t="s">
        <v>112</v>
      </c>
      <c r="C143" s="2">
        <v>982</v>
      </c>
      <c r="D143" s="2">
        <v>2</v>
      </c>
      <c r="E143" s="14">
        <v>77.8</v>
      </c>
      <c r="F143" s="2">
        <v>0.5</v>
      </c>
      <c r="G143" s="2">
        <v>0.5</v>
      </c>
    </row>
    <row r="144" spans="1:7" x14ac:dyDescent="0.25">
      <c r="A144" s="3">
        <v>40821</v>
      </c>
      <c r="B144" s="2" t="s">
        <v>112</v>
      </c>
      <c r="C144" s="2">
        <v>983</v>
      </c>
      <c r="D144" s="2">
        <v>2</v>
      </c>
      <c r="E144" s="14">
        <v>60.8</v>
      </c>
      <c r="F144" s="2">
        <v>0</v>
      </c>
      <c r="G144" s="2">
        <v>0</v>
      </c>
    </row>
    <row r="145" spans="1:7" x14ac:dyDescent="0.25">
      <c r="A145" s="3">
        <v>40821</v>
      </c>
      <c r="B145" s="2" t="s">
        <v>112</v>
      </c>
      <c r="C145" s="2">
        <v>984</v>
      </c>
      <c r="D145" s="2">
        <v>2</v>
      </c>
      <c r="E145" s="14">
        <v>54.7</v>
      </c>
      <c r="F145" s="2">
        <v>2</v>
      </c>
      <c r="G145" s="2">
        <v>2</v>
      </c>
    </row>
    <row r="146" spans="1:7" x14ac:dyDescent="0.25">
      <c r="A146" s="3">
        <v>40821</v>
      </c>
      <c r="B146" s="2" t="s">
        <v>112</v>
      </c>
      <c r="C146" s="2">
        <v>985</v>
      </c>
      <c r="D146" s="2">
        <v>2</v>
      </c>
      <c r="E146" s="14">
        <v>84.8</v>
      </c>
      <c r="F146" s="2">
        <v>1</v>
      </c>
      <c r="G146" s="2">
        <v>1</v>
      </c>
    </row>
    <row r="147" spans="1:7" x14ac:dyDescent="0.25">
      <c r="A147" s="3">
        <v>40821</v>
      </c>
      <c r="B147" s="2" t="s">
        <v>112</v>
      </c>
      <c r="C147" s="2">
        <v>986</v>
      </c>
      <c r="D147" s="2">
        <v>3</v>
      </c>
      <c r="E147" s="14">
        <v>58.1</v>
      </c>
      <c r="F147" s="2">
        <v>0.5</v>
      </c>
      <c r="G147" s="2">
        <v>1</v>
      </c>
    </row>
    <row r="148" spans="1:7" x14ac:dyDescent="0.25">
      <c r="A148" s="3">
        <v>40821</v>
      </c>
      <c r="B148" s="2" t="s">
        <v>112</v>
      </c>
      <c r="C148" s="2">
        <v>987</v>
      </c>
      <c r="D148" s="2">
        <v>3</v>
      </c>
      <c r="E148" s="14">
        <v>62.9</v>
      </c>
      <c r="F148" s="2">
        <v>0</v>
      </c>
      <c r="G148" s="2">
        <v>0</v>
      </c>
    </row>
    <row r="149" spans="1:7" x14ac:dyDescent="0.25">
      <c r="A149" s="3">
        <v>40821</v>
      </c>
      <c r="B149" s="2" t="s">
        <v>112</v>
      </c>
      <c r="C149" s="2">
        <v>988</v>
      </c>
      <c r="D149" s="2">
        <v>3</v>
      </c>
      <c r="E149" s="14">
        <v>60.1</v>
      </c>
      <c r="F149" s="2">
        <v>2</v>
      </c>
      <c r="G149" s="2">
        <v>2</v>
      </c>
    </row>
    <row r="150" spans="1:7" x14ac:dyDescent="0.25">
      <c r="A150" s="3">
        <v>40821</v>
      </c>
      <c r="B150" s="2" t="s">
        <v>112</v>
      </c>
      <c r="C150" s="2">
        <v>989</v>
      </c>
      <c r="D150" s="2">
        <v>3</v>
      </c>
      <c r="E150" s="14">
        <v>60.5</v>
      </c>
      <c r="F150" s="2">
        <v>0.5</v>
      </c>
      <c r="G150" s="2">
        <v>0.5</v>
      </c>
    </row>
    <row r="151" spans="1:7" x14ac:dyDescent="0.25">
      <c r="A151" s="3">
        <v>40821</v>
      </c>
      <c r="B151" s="2" t="s">
        <v>112</v>
      </c>
      <c r="C151" s="2">
        <v>990</v>
      </c>
      <c r="D151" s="2">
        <v>3</v>
      </c>
      <c r="E151" s="14">
        <v>59.5</v>
      </c>
      <c r="F151" s="2">
        <v>0</v>
      </c>
      <c r="G151" s="2">
        <v>1</v>
      </c>
    </row>
    <row r="152" spans="1:7" x14ac:dyDescent="0.25">
      <c r="A152" s="3">
        <v>40849</v>
      </c>
      <c r="B152" s="2" t="s">
        <v>112</v>
      </c>
      <c r="C152" s="2">
        <v>991</v>
      </c>
      <c r="D152" s="2">
        <v>1</v>
      </c>
      <c r="E152" s="14">
        <v>87.2</v>
      </c>
      <c r="F152" s="2">
        <v>0.5</v>
      </c>
      <c r="G152" s="2">
        <v>0.5</v>
      </c>
    </row>
    <row r="153" spans="1:7" x14ac:dyDescent="0.25">
      <c r="A153" s="3">
        <v>40849</v>
      </c>
      <c r="B153" s="2" t="s">
        <v>112</v>
      </c>
      <c r="C153" s="2">
        <v>992</v>
      </c>
      <c r="D153" s="2">
        <v>1</v>
      </c>
      <c r="E153" s="14">
        <v>100.3</v>
      </c>
      <c r="F153" s="2">
        <v>1</v>
      </c>
      <c r="G153" s="2">
        <v>1</v>
      </c>
    </row>
    <row r="154" spans="1:7" x14ac:dyDescent="0.25">
      <c r="A154" s="3">
        <v>40849</v>
      </c>
      <c r="B154" s="2" t="s">
        <v>112</v>
      </c>
      <c r="C154" s="2">
        <v>993</v>
      </c>
      <c r="D154" s="2">
        <v>1</v>
      </c>
      <c r="E154" s="14">
        <v>75.3</v>
      </c>
      <c r="F154" s="2">
        <v>1</v>
      </c>
      <c r="G154" s="2">
        <v>1</v>
      </c>
    </row>
    <row r="155" spans="1:7" x14ac:dyDescent="0.25">
      <c r="A155" s="3">
        <v>40849</v>
      </c>
      <c r="B155" s="2" t="s">
        <v>112</v>
      </c>
      <c r="C155" s="2">
        <v>994</v>
      </c>
      <c r="D155" s="2">
        <v>1</v>
      </c>
      <c r="E155" s="14">
        <v>88.3</v>
      </c>
      <c r="F155" s="2">
        <v>4</v>
      </c>
      <c r="G155" s="2">
        <v>4</v>
      </c>
    </row>
    <row r="156" spans="1:7" x14ac:dyDescent="0.25">
      <c r="A156" s="3">
        <v>40849</v>
      </c>
      <c r="B156" s="2" t="s">
        <v>112</v>
      </c>
      <c r="C156" s="2">
        <v>995</v>
      </c>
      <c r="D156" s="2">
        <v>1</v>
      </c>
      <c r="E156" s="14">
        <v>76.5</v>
      </c>
      <c r="F156" s="2">
        <v>2</v>
      </c>
      <c r="G156" s="2">
        <v>2</v>
      </c>
    </row>
    <row r="157" spans="1:7" x14ac:dyDescent="0.25">
      <c r="A157" s="3">
        <v>40849</v>
      </c>
      <c r="B157" s="2" t="s">
        <v>112</v>
      </c>
      <c r="C157" s="2">
        <v>996</v>
      </c>
      <c r="D157" s="2">
        <v>2</v>
      </c>
      <c r="E157" s="14">
        <v>108.4</v>
      </c>
      <c r="F157" s="2">
        <v>0.5</v>
      </c>
      <c r="G157" s="2">
        <v>0.5</v>
      </c>
    </row>
    <row r="158" spans="1:7" x14ac:dyDescent="0.25">
      <c r="A158" s="3">
        <v>40849</v>
      </c>
      <c r="B158" s="2" t="s">
        <v>112</v>
      </c>
      <c r="C158" s="2">
        <v>997</v>
      </c>
      <c r="D158" s="2">
        <v>2</v>
      </c>
      <c r="E158" s="14">
        <v>93.1</v>
      </c>
      <c r="F158" s="2">
        <v>3</v>
      </c>
      <c r="G158" s="2">
        <v>3</v>
      </c>
    </row>
    <row r="159" spans="1:7" x14ac:dyDescent="0.25">
      <c r="A159" s="3">
        <v>40849</v>
      </c>
      <c r="B159" s="2" t="s">
        <v>112</v>
      </c>
      <c r="C159" s="2">
        <v>998</v>
      </c>
      <c r="D159" s="2">
        <v>2</v>
      </c>
      <c r="E159" s="14">
        <v>75.599999999999994</v>
      </c>
      <c r="F159" s="2">
        <v>0.5</v>
      </c>
      <c r="G159" s="2">
        <v>0.5</v>
      </c>
    </row>
    <row r="160" spans="1:7" x14ac:dyDescent="0.25">
      <c r="A160" s="3">
        <v>40849</v>
      </c>
      <c r="B160" s="2" t="s">
        <v>112</v>
      </c>
      <c r="C160" s="2">
        <v>999</v>
      </c>
      <c r="D160" s="2">
        <v>2</v>
      </c>
      <c r="E160" s="14">
        <v>84.5</v>
      </c>
      <c r="F160" s="2">
        <v>0</v>
      </c>
      <c r="G160" s="2">
        <v>0</v>
      </c>
    </row>
    <row r="161" spans="1:7" x14ac:dyDescent="0.25">
      <c r="A161" s="3">
        <v>40849</v>
      </c>
      <c r="B161" s="2" t="s">
        <v>112</v>
      </c>
      <c r="C161" s="2">
        <v>1000</v>
      </c>
      <c r="D161" s="2">
        <v>2</v>
      </c>
      <c r="E161" s="14">
        <v>76.900000000000006</v>
      </c>
      <c r="F161" s="2">
        <v>1</v>
      </c>
      <c r="G161" s="2">
        <v>1</v>
      </c>
    </row>
    <row r="162" spans="1:7" x14ac:dyDescent="0.25">
      <c r="A162" s="3">
        <v>40849</v>
      </c>
      <c r="B162" s="2" t="s">
        <v>112</v>
      </c>
      <c r="C162" s="2">
        <v>1001</v>
      </c>
      <c r="D162" s="2">
        <v>3</v>
      </c>
      <c r="E162" s="14">
        <v>89</v>
      </c>
      <c r="F162" s="2">
        <v>0</v>
      </c>
      <c r="G162" s="2">
        <v>0</v>
      </c>
    </row>
    <row r="163" spans="1:7" x14ac:dyDescent="0.25">
      <c r="A163" s="3">
        <v>40849</v>
      </c>
      <c r="B163" s="2" t="s">
        <v>112</v>
      </c>
      <c r="C163" s="2">
        <v>1002</v>
      </c>
      <c r="D163" s="2">
        <v>3</v>
      </c>
      <c r="E163" s="14">
        <v>65.8</v>
      </c>
      <c r="F163" s="2">
        <v>0.5</v>
      </c>
      <c r="G163" s="2">
        <v>0.5</v>
      </c>
    </row>
    <row r="164" spans="1:7" x14ac:dyDescent="0.25">
      <c r="A164" s="3">
        <v>40849</v>
      </c>
      <c r="B164" s="2" t="s">
        <v>112</v>
      </c>
      <c r="C164" s="2">
        <v>1003</v>
      </c>
      <c r="D164" s="2">
        <v>3</v>
      </c>
      <c r="E164" s="14">
        <v>62.4</v>
      </c>
      <c r="F164" s="2">
        <v>1</v>
      </c>
      <c r="G164" s="2">
        <v>1</v>
      </c>
    </row>
    <row r="165" spans="1:7" x14ac:dyDescent="0.25">
      <c r="A165" s="3">
        <v>40849</v>
      </c>
      <c r="B165" s="2" t="s">
        <v>112</v>
      </c>
      <c r="C165" s="2">
        <v>1004</v>
      </c>
      <c r="D165" s="2">
        <v>3</v>
      </c>
      <c r="E165" s="14">
        <v>88.9</v>
      </c>
      <c r="F165" s="2">
        <v>0</v>
      </c>
      <c r="G165" s="2">
        <v>0</v>
      </c>
    </row>
    <row r="166" spans="1:7" x14ac:dyDescent="0.25">
      <c r="A166" s="3">
        <v>40849</v>
      </c>
      <c r="B166" s="2" t="s">
        <v>112</v>
      </c>
      <c r="C166" s="2">
        <v>1005</v>
      </c>
      <c r="D166" s="2">
        <v>3</v>
      </c>
      <c r="E166" s="14">
        <v>56.1</v>
      </c>
      <c r="F166" s="2">
        <v>1</v>
      </c>
      <c r="G166" s="2">
        <v>1</v>
      </c>
    </row>
    <row r="167" spans="1:7" x14ac:dyDescent="0.25">
      <c r="A167" s="3">
        <v>40883</v>
      </c>
      <c r="B167" s="2" t="s">
        <v>112</v>
      </c>
      <c r="C167" s="2">
        <v>1006</v>
      </c>
      <c r="D167" s="2">
        <v>1</v>
      </c>
      <c r="E167" s="14">
        <v>77.900000000000006</v>
      </c>
      <c r="F167" s="2">
        <v>0.5</v>
      </c>
      <c r="G167" s="2">
        <v>0.5</v>
      </c>
    </row>
    <row r="168" spans="1:7" x14ac:dyDescent="0.25">
      <c r="A168" s="3">
        <v>40883</v>
      </c>
      <c r="B168" s="2" t="s">
        <v>112</v>
      </c>
      <c r="C168" s="2">
        <v>1007</v>
      </c>
      <c r="D168" s="2">
        <v>1</v>
      </c>
      <c r="E168" s="14">
        <v>105.4</v>
      </c>
      <c r="F168" s="2">
        <v>0</v>
      </c>
      <c r="G168" s="2">
        <v>0.5</v>
      </c>
    </row>
    <row r="169" spans="1:7" x14ac:dyDescent="0.25">
      <c r="A169" s="3">
        <v>40883</v>
      </c>
      <c r="B169" s="2" t="s">
        <v>112</v>
      </c>
      <c r="C169" s="2">
        <v>1008</v>
      </c>
      <c r="D169" s="2">
        <v>1</v>
      </c>
      <c r="E169" s="14">
        <v>73</v>
      </c>
      <c r="F169" s="2">
        <v>5</v>
      </c>
      <c r="G169" s="2">
        <v>5</v>
      </c>
    </row>
    <row r="170" spans="1:7" x14ac:dyDescent="0.25">
      <c r="A170" s="3">
        <v>40883</v>
      </c>
      <c r="B170" s="2" t="s">
        <v>112</v>
      </c>
      <c r="C170" s="2">
        <v>1009</v>
      </c>
      <c r="D170" s="2">
        <v>1</v>
      </c>
      <c r="E170" s="14">
        <v>56</v>
      </c>
      <c r="F170" s="2">
        <v>1</v>
      </c>
      <c r="G170" s="2">
        <v>2</v>
      </c>
    </row>
    <row r="171" spans="1:7" x14ac:dyDescent="0.25">
      <c r="A171" s="3">
        <v>40883</v>
      </c>
      <c r="B171" s="2" t="s">
        <v>112</v>
      </c>
      <c r="C171" s="2">
        <v>1010</v>
      </c>
      <c r="D171" s="2">
        <v>1</v>
      </c>
      <c r="E171" s="14">
        <v>50.1</v>
      </c>
      <c r="F171" s="2">
        <v>0.5</v>
      </c>
      <c r="G171" s="2">
        <v>1</v>
      </c>
    </row>
    <row r="172" spans="1:7" x14ac:dyDescent="0.25">
      <c r="A172" s="3">
        <v>40883</v>
      </c>
      <c r="B172" s="2" t="s">
        <v>112</v>
      </c>
      <c r="C172" s="2">
        <v>1011</v>
      </c>
      <c r="D172" s="2">
        <v>2</v>
      </c>
      <c r="E172" s="14">
        <v>63.2</v>
      </c>
      <c r="F172" s="2">
        <v>3</v>
      </c>
      <c r="G172" s="2">
        <v>2</v>
      </c>
    </row>
    <row r="173" spans="1:7" x14ac:dyDescent="0.25">
      <c r="A173" s="3">
        <v>40883</v>
      </c>
      <c r="B173" s="2" t="s">
        <v>112</v>
      </c>
      <c r="C173" s="2">
        <v>1012</v>
      </c>
      <c r="D173" s="2">
        <v>2</v>
      </c>
      <c r="E173" s="14">
        <v>59.3</v>
      </c>
      <c r="F173" s="2">
        <v>0.5</v>
      </c>
      <c r="G173" s="2">
        <v>0.5</v>
      </c>
    </row>
    <row r="174" spans="1:7" x14ac:dyDescent="0.25">
      <c r="A174" s="3">
        <v>40883</v>
      </c>
      <c r="B174" s="2" t="s">
        <v>112</v>
      </c>
      <c r="C174" s="2">
        <v>1013</v>
      </c>
      <c r="D174" s="2">
        <v>2</v>
      </c>
      <c r="E174" s="14">
        <v>65.7</v>
      </c>
      <c r="F174" s="2">
        <v>0</v>
      </c>
      <c r="G174" s="2">
        <v>0</v>
      </c>
    </row>
    <row r="175" spans="1:7" x14ac:dyDescent="0.25">
      <c r="A175" s="3">
        <v>40883</v>
      </c>
      <c r="B175" s="2" t="s">
        <v>112</v>
      </c>
      <c r="C175" s="2">
        <v>1014</v>
      </c>
      <c r="D175" s="2">
        <v>2</v>
      </c>
      <c r="E175" s="14">
        <v>61.7</v>
      </c>
      <c r="F175" s="2">
        <v>1</v>
      </c>
      <c r="G175" s="2">
        <v>2</v>
      </c>
    </row>
    <row r="176" spans="1:7" x14ac:dyDescent="0.25">
      <c r="A176" s="3">
        <v>40883</v>
      </c>
      <c r="B176" s="2" t="s">
        <v>112</v>
      </c>
      <c r="C176" s="2">
        <v>1015</v>
      </c>
      <c r="D176" s="2">
        <v>2</v>
      </c>
      <c r="E176" s="14">
        <v>56.9</v>
      </c>
      <c r="F176" s="2">
        <v>0.5</v>
      </c>
      <c r="G176" s="2">
        <v>0.5</v>
      </c>
    </row>
    <row r="177" spans="1:7" x14ac:dyDescent="0.25">
      <c r="A177" s="3">
        <v>40883</v>
      </c>
      <c r="B177" s="2" t="s">
        <v>112</v>
      </c>
      <c r="C177" s="2">
        <v>1016</v>
      </c>
      <c r="D177" s="2">
        <v>3</v>
      </c>
      <c r="E177" s="14">
        <v>67.8</v>
      </c>
      <c r="F177" s="2">
        <v>0.5</v>
      </c>
      <c r="G177" s="2">
        <v>1</v>
      </c>
    </row>
    <row r="178" spans="1:7" x14ac:dyDescent="0.25">
      <c r="A178" s="3">
        <v>40883</v>
      </c>
      <c r="B178" s="2" t="s">
        <v>112</v>
      </c>
      <c r="C178" s="2">
        <v>1017</v>
      </c>
      <c r="D178" s="2">
        <v>3</v>
      </c>
      <c r="E178" s="14">
        <v>75.099999999999994</v>
      </c>
      <c r="F178" s="2">
        <v>0</v>
      </c>
      <c r="G178" s="2">
        <v>0</v>
      </c>
    </row>
    <row r="179" spans="1:7" x14ac:dyDescent="0.25">
      <c r="A179" s="3">
        <v>40883</v>
      </c>
      <c r="B179" s="2" t="s">
        <v>112</v>
      </c>
      <c r="C179" s="2">
        <v>1018</v>
      </c>
      <c r="D179" s="2">
        <v>3</v>
      </c>
      <c r="E179" s="14">
        <v>40.299999999999997</v>
      </c>
      <c r="F179" s="2">
        <v>0</v>
      </c>
      <c r="G179" s="2">
        <v>0</v>
      </c>
    </row>
    <row r="180" spans="1:7" x14ac:dyDescent="0.25">
      <c r="A180" s="3">
        <v>40883</v>
      </c>
      <c r="B180" s="2" t="s">
        <v>112</v>
      </c>
      <c r="C180" s="2">
        <v>1019</v>
      </c>
      <c r="D180" s="2">
        <v>3</v>
      </c>
      <c r="E180" s="14">
        <v>43.4</v>
      </c>
      <c r="F180" s="2">
        <v>0</v>
      </c>
      <c r="G180" s="2">
        <v>0</v>
      </c>
    </row>
    <row r="181" spans="1:7" x14ac:dyDescent="0.25">
      <c r="A181" s="3">
        <v>40883</v>
      </c>
      <c r="B181" s="2" t="s">
        <v>112</v>
      </c>
      <c r="C181" s="2">
        <v>1020</v>
      </c>
      <c r="D181" s="2">
        <v>3</v>
      </c>
      <c r="E181" s="14">
        <v>62.2</v>
      </c>
      <c r="F181" s="2">
        <v>1</v>
      </c>
      <c r="G181" s="2">
        <v>2</v>
      </c>
    </row>
  </sheetData>
  <conditionalFormatting sqref="A1">
    <cfRule type="expression" dxfId="7" priority="3" stopIfTrue="1">
      <formula>IF(CELL("type",A1)="v","TRUE","FALSE")</formula>
    </cfRule>
    <cfRule type="expression" dxfId="6" priority="4" stopIfTrue="1">
      <formula>IF(CELL("type",A1)="l","TRUE","FALSE")</formula>
    </cfRule>
  </conditionalFormatting>
  <conditionalFormatting sqref="A2:A181">
    <cfRule type="expression" dxfId="5" priority="1" stopIfTrue="1">
      <formula>IF(CELL("type",A2)="v","TRUE","FALSE")</formula>
    </cfRule>
    <cfRule type="expression" dxfId="4" priority="2" stopIfTrue="1">
      <formula>IF(CELL("type",A2)="l","TRUE","FALSE")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450C-0025-4AEC-8986-C032C3ABB2C0}">
  <dimension ref="A1:L46"/>
  <sheetViews>
    <sheetView tabSelected="1" workbookViewId="0">
      <pane ySplit="1" topLeftCell="A2" activePane="bottomLeft" state="frozen"/>
      <selection pane="bottomLeft" activeCell="F52" sqref="F52"/>
    </sheetView>
  </sheetViews>
  <sheetFormatPr defaultRowHeight="15" x14ac:dyDescent="0.25"/>
  <cols>
    <col min="1" max="1" width="10.140625" bestFit="1" customWidth="1"/>
    <col min="5" max="5" width="9.7109375" bestFit="1" customWidth="1"/>
    <col min="6" max="6" width="10" bestFit="1" customWidth="1"/>
    <col min="7" max="7" width="12.42578125" bestFit="1" customWidth="1"/>
    <col min="9" max="9" width="10" bestFit="1" customWidth="1"/>
    <col min="11" max="11" width="11.42578125" customWidth="1"/>
  </cols>
  <sheetData>
    <row r="1" spans="1:12" ht="16.5" customHeight="1" x14ac:dyDescent="0.25">
      <c r="A1" s="3" t="s">
        <v>0</v>
      </c>
      <c r="B1" s="6" t="s">
        <v>101</v>
      </c>
      <c r="C1" s="6" t="s">
        <v>115</v>
      </c>
      <c r="D1" s="6" t="s">
        <v>116</v>
      </c>
      <c r="E1" s="16" t="s">
        <v>117</v>
      </c>
      <c r="F1" s="17" t="s">
        <v>118</v>
      </c>
      <c r="G1" s="16" t="s">
        <v>119</v>
      </c>
      <c r="H1" s="16" t="s">
        <v>120</v>
      </c>
      <c r="I1" s="16" t="s">
        <v>121</v>
      </c>
      <c r="J1" s="17" t="s">
        <v>122</v>
      </c>
      <c r="K1" s="8" t="s">
        <v>123</v>
      </c>
    </row>
    <row r="2" spans="1:12" x14ac:dyDescent="0.25">
      <c r="A2" s="3">
        <v>40548</v>
      </c>
      <c r="B2" s="2" t="s">
        <v>112</v>
      </c>
      <c r="C2" s="2">
        <v>1</v>
      </c>
      <c r="D2" s="15">
        <v>0.45763888888888887</v>
      </c>
      <c r="E2" s="4">
        <v>0.6</v>
      </c>
      <c r="F2" s="10">
        <v>19.5</v>
      </c>
      <c r="G2" s="4">
        <v>30.3</v>
      </c>
      <c r="H2" s="4">
        <v>7.9</v>
      </c>
      <c r="I2" s="4">
        <v>6.85</v>
      </c>
      <c r="J2" s="10">
        <v>88.4</v>
      </c>
      <c r="K2" s="4">
        <v>0.6</v>
      </c>
      <c r="L2" s="10"/>
    </row>
    <row r="3" spans="1:12" x14ac:dyDescent="0.25">
      <c r="A3" s="3">
        <v>40548</v>
      </c>
      <c r="B3" s="2" t="s">
        <v>112</v>
      </c>
      <c r="C3" s="2">
        <v>2</v>
      </c>
      <c r="D3" s="15">
        <v>0.47291666666666665</v>
      </c>
      <c r="E3" s="4">
        <v>0.7</v>
      </c>
      <c r="F3" s="10">
        <v>19.5</v>
      </c>
      <c r="G3" s="4">
        <v>29.8</v>
      </c>
      <c r="H3" s="4">
        <v>7.9</v>
      </c>
      <c r="I3" s="4">
        <v>6.45</v>
      </c>
      <c r="J3" s="10">
        <v>84.1</v>
      </c>
      <c r="K3" s="4">
        <v>0.7</v>
      </c>
      <c r="L3" s="10"/>
    </row>
    <row r="4" spans="1:12" x14ac:dyDescent="0.25">
      <c r="A4" s="3">
        <v>40548</v>
      </c>
      <c r="B4" s="2" t="s">
        <v>112</v>
      </c>
      <c r="C4" s="2">
        <v>3</v>
      </c>
      <c r="D4" s="15">
        <v>0.49444444444444446</v>
      </c>
      <c r="E4" s="4">
        <v>0.7</v>
      </c>
      <c r="F4" s="10">
        <v>19.399999999999999</v>
      </c>
      <c r="G4" s="4">
        <v>28.3</v>
      </c>
      <c r="H4" s="4">
        <v>7.9</v>
      </c>
      <c r="I4" s="4">
        <v>6.3</v>
      </c>
      <c r="J4" s="10">
        <v>80.7</v>
      </c>
      <c r="K4" s="4">
        <v>0.7</v>
      </c>
      <c r="L4" s="10"/>
    </row>
    <row r="5" spans="1:12" x14ac:dyDescent="0.25">
      <c r="A5" s="3">
        <v>40576</v>
      </c>
      <c r="B5" s="2" t="s">
        <v>112</v>
      </c>
      <c r="C5" s="2">
        <v>1</v>
      </c>
      <c r="D5" s="15">
        <v>0.50694444444444442</v>
      </c>
      <c r="E5" s="4">
        <v>0.6</v>
      </c>
      <c r="F5" s="10">
        <v>20.2</v>
      </c>
      <c r="G5" s="4">
        <v>27.5</v>
      </c>
      <c r="H5" s="4">
        <v>7.8</v>
      </c>
      <c r="I5" s="4">
        <v>6.95</v>
      </c>
      <c r="J5" s="10">
        <v>89.3</v>
      </c>
      <c r="K5" s="4">
        <v>0.6</v>
      </c>
      <c r="L5" s="10"/>
    </row>
    <row r="6" spans="1:12" x14ac:dyDescent="0.25">
      <c r="A6" s="3">
        <v>40576</v>
      </c>
      <c r="B6" s="2" t="s">
        <v>112</v>
      </c>
      <c r="C6" s="2">
        <v>2</v>
      </c>
      <c r="D6" s="15">
        <v>0.52777777777777779</v>
      </c>
      <c r="E6" s="4">
        <v>0.6</v>
      </c>
      <c r="F6" s="10">
        <v>20.100000000000001</v>
      </c>
      <c r="G6" s="4">
        <v>30.6</v>
      </c>
      <c r="H6" s="4">
        <v>7.9</v>
      </c>
      <c r="I6" s="4">
        <v>6.69</v>
      </c>
      <c r="J6" s="10">
        <v>88.4</v>
      </c>
      <c r="K6" s="4">
        <v>0.6</v>
      </c>
      <c r="L6" s="10"/>
    </row>
    <row r="7" spans="1:12" x14ac:dyDescent="0.25">
      <c r="A7" s="3">
        <v>40576</v>
      </c>
      <c r="B7" s="2" t="s">
        <v>112</v>
      </c>
      <c r="C7" s="2">
        <v>3</v>
      </c>
      <c r="D7" s="15">
        <v>0.56041666666666667</v>
      </c>
      <c r="E7" s="4">
        <v>0.6</v>
      </c>
      <c r="F7" s="10">
        <v>21.6</v>
      </c>
      <c r="G7" s="4">
        <v>29.2</v>
      </c>
      <c r="H7" s="4">
        <v>7.8</v>
      </c>
      <c r="I7" s="4">
        <v>6.64</v>
      </c>
      <c r="J7" s="10">
        <v>89.1</v>
      </c>
      <c r="K7" s="4">
        <v>0.6</v>
      </c>
      <c r="L7" s="10"/>
    </row>
    <row r="8" spans="1:12" x14ac:dyDescent="0.25">
      <c r="A8" s="3">
        <v>40595</v>
      </c>
      <c r="B8" s="2" t="s">
        <v>112</v>
      </c>
      <c r="C8" s="2">
        <v>1</v>
      </c>
      <c r="D8" s="15">
        <v>0.75694444444444453</v>
      </c>
      <c r="E8" s="4">
        <v>1.25</v>
      </c>
      <c r="F8" s="10">
        <v>22.6</v>
      </c>
      <c r="G8" s="4">
        <v>28.5</v>
      </c>
      <c r="H8" s="4">
        <v>7.7</v>
      </c>
      <c r="I8" s="4">
        <v>6.5</v>
      </c>
      <c r="J8" s="10">
        <v>81.2</v>
      </c>
      <c r="K8" s="4">
        <v>1.25</v>
      </c>
      <c r="L8" s="10"/>
    </row>
    <row r="9" spans="1:12" x14ac:dyDescent="0.25">
      <c r="A9" s="3">
        <v>40595</v>
      </c>
      <c r="B9" s="2" t="s">
        <v>112</v>
      </c>
      <c r="C9" s="2">
        <v>2</v>
      </c>
      <c r="D9" s="15">
        <v>0.76458333333333339</v>
      </c>
      <c r="E9" s="4">
        <v>0.4</v>
      </c>
      <c r="F9" s="10">
        <v>22.7</v>
      </c>
      <c r="G9" s="4">
        <v>29.5</v>
      </c>
      <c r="H9" s="4">
        <v>7.7</v>
      </c>
      <c r="I9" s="4">
        <v>5.38</v>
      </c>
      <c r="J9" s="10">
        <v>75</v>
      </c>
      <c r="K9" s="4">
        <v>0.4</v>
      </c>
      <c r="L9" s="10"/>
    </row>
    <row r="10" spans="1:12" x14ac:dyDescent="0.25">
      <c r="A10" s="3">
        <v>40595</v>
      </c>
      <c r="B10" s="2" t="s">
        <v>112</v>
      </c>
      <c r="C10" s="2">
        <v>3</v>
      </c>
      <c r="D10" s="15">
        <v>0.77222222222222225</v>
      </c>
      <c r="E10" s="4">
        <v>0.4</v>
      </c>
      <c r="F10" s="10">
        <v>22.6</v>
      </c>
      <c r="G10" s="4">
        <v>27</v>
      </c>
      <c r="H10" s="4">
        <v>7.7</v>
      </c>
      <c r="I10" s="4">
        <v>4.9000000000000004</v>
      </c>
      <c r="J10" s="10">
        <v>68</v>
      </c>
      <c r="K10" s="4">
        <v>0.4</v>
      </c>
      <c r="L10" s="10"/>
    </row>
    <row r="11" spans="1:12" x14ac:dyDescent="0.25">
      <c r="A11" s="3">
        <v>40604</v>
      </c>
      <c r="B11" s="2" t="s">
        <v>112</v>
      </c>
      <c r="C11" s="2">
        <v>1</v>
      </c>
      <c r="D11" s="15">
        <v>0.40833333333333338</v>
      </c>
      <c r="E11" s="4">
        <v>0.7</v>
      </c>
      <c r="F11" s="10">
        <v>22.6</v>
      </c>
      <c r="G11" s="4">
        <v>31</v>
      </c>
      <c r="H11" s="4">
        <v>7.8</v>
      </c>
      <c r="I11" s="4">
        <v>4.84</v>
      </c>
      <c r="J11" s="10">
        <v>65.8</v>
      </c>
      <c r="K11" s="4">
        <v>0.7</v>
      </c>
      <c r="L11" s="10"/>
    </row>
    <row r="12" spans="1:12" x14ac:dyDescent="0.25">
      <c r="A12" s="3">
        <v>40604</v>
      </c>
      <c r="B12" s="2" t="s">
        <v>112</v>
      </c>
      <c r="C12" s="2">
        <v>2</v>
      </c>
      <c r="D12" s="15">
        <v>0.4201388888888889</v>
      </c>
      <c r="E12" s="4">
        <v>0.85</v>
      </c>
      <c r="F12" s="10">
        <v>22.1</v>
      </c>
      <c r="G12" s="4">
        <v>29.9</v>
      </c>
      <c r="H12" s="4">
        <v>7.8</v>
      </c>
      <c r="I12" s="4">
        <v>5.35</v>
      </c>
      <c r="J12" s="10">
        <v>71.900000000000006</v>
      </c>
      <c r="K12" s="4">
        <v>0.4</v>
      </c>
      <c r="L12" s="10"/>
    </row>
    <row r="13" spans="1:12" x14ac:dyDescent="0.25">
      <c r="A13" s="3">
        <v>40604</v>
      </c>
      <c r="B13" s="2" t="s">
        <v>112</v>
      </c>
      <c r="C13" s="2">
        <v>3</v>
      </c>
      <c r="D13" s="15">
        <v>0.44236111111111115</v>
      </c>
      <c r="E13" s="4">
        <v>0.65</v>
      </c>
      <c r="F13" s="10">
        <v>22.7</v>
      </c>
      <c r="G13" s="4">
        <v>29</v>
      </c>
      <c r="H13" s="4">
        <v>7.8</v>
      </c>
      <c r="I13" s="4">
        <v>5.27</v>
      </c>
      <c r="J13" s="10">
        <v>72.5</v>
      </c>
      <c r="K13" s="4">
        <v>0.65</v>
      </c>
      <c r="L13" s="10"/>
    </row>
    <row r="14" spans="1:12" x14ac:dyDescent="0.25">
      <c r="A14" s="3">
        <v>40610</v>
      </c>
      <c r="B14" s="2" t="s">
        <v>112</v>
      </c>
      <c r="C14" s="2">
        <v>1</v>
      </c>
      <c r="D14" s="15">
        <v>0.45694444444444443</v>
      </c>
      <c r="E14" s="4">
        <v>0.5</v>
      </c>
      <c r="F14" s="10">
        <v>21.6</v>
      </c>
      <c r="G14" s="4">
        <v>30.5</v>
      </c>
      <c r="H14" s="4">
        <v>7.5</v>
      </c>
      <c r="I14" s="4">
        <v>6.29</v>
      </c>
      <c r="J14" s="10">
        <v>84.9</v>
      </c>
      <c r="K14" s="4">
        <v>0.5</v>
      </c>
      <c r="L14" s="10"/>
    </row>
    <row r="15" spans="1:12" x14ac:dyDescent="0.25">
      <c r="A15" s="3">
        <v>40610</v>
      </c>
      <c r="B15" s="2" t="s">
        <v>112</v>
      </c>
      <c r="C15" s="2">
        <v>2</v>
      </c>
      <c r="D15" s="15">
        <v>0.5625</v>
      </c>
      <c r="E15" s="4">
        <v>0.75</v>
      </c>
      <c r="F15" s="10">
        <v>22.8</v>
      </c>
      <c r="G15" s="4">
        <v>31</v>
      </c>
      <c r="H15" s="4">
        <v>7.8</v>
      </c>
      <c r="I15" s="4">
        <v>5.43</v>
      </c>
      <c r="J15" s="10">
        <v>74.8</v>
      </c>
      <c r="K15" s="4">
        <v>0.65</v>
      </c>
      <c r="L15" s="10"/>
    </row>
    <row r="16" spans="1:12" x14ac:dyDescent="0.25">
      <c r="A16" s="3">
        <v>40610</v>
      </c>
      <c r="B16" s="2" t="s">
        <v>112</v>
      </c>
      <c r="C16" s="2">
        <v>3</v>
      </c>
      <c r="D16" s="15">
        <v>0.63263888888888886</v>
      </c>
      <c r="E16" s="4">
        <v>0.65</v>
      </c>
      <c r="F16" s="10">
        <v>24.4</v>
      </c>
      <c r="G16" s="4">
        <v>28.8</v>
      </c>
      <c r="H16" s="4">
        <v>7.9</v>
      </c>
      <c r="I16" s="4">
        <v>6.24</v>
      </c>
      <c r="J16" s="10">
        <v>87.6</v>
      </c>
      <c r="K16" s="4">
        <v>0.65</v>
      </c>
      <c r="L16" s="10"/>
    </row>
    <row r="17" spans="1:12" x14ac:dyDescent="0.25">
      <c r="A17" s="3">
        <v>40639</v>
      </c>
      <c r="B17" s="2" t="s">
        <v>112</v>
      </c>
      <c r="C17" s="2">
        <v>1</v>
      </c>
      <c r="D17" s="15">
        <v>0.4694444444444445</v>
      </c>
      <c r="E17" s="4">
        <v>0.5</v>
      </c>
      <c r="F17" s="10">
        <v>24.5</v>
      </c>
      <c r="G17" s="4">
        <v>31</v>
      </c>
      <c r="H17" s="4">
        <v>7.9</v>
      </c>
      <c r="I17" s="4" t="s">
        <v>12</v>
      </c>
      <c r="J17" s="10" t="s">
        <v>12</v>
      </c>
      <c r="K17" s="4">
        <v>0.5</v>
      </c>
      <c r="L17" s="10"/>
    </row>
    <row r="18" spans="1:12" x14ac:dyDescent="0.25">
      <c r="A18" s="3">
        <v>40639</v>
      </c>
      <c r="B18" s="2" t="s">
        <v>112</v>
      </c>
      <c r="C18" s="2">
        <v>2</v>
      </c>
      <c r="D18" s="15">
        <v>0.50416666666666665</v>
      </c>
      <c r="E18" s="4">
        <v>0.5</v>
      </c>
      <c r="F18" s="10">
        <v>24.5</v>
      </c>
      <c r="G18" s="4">
        <v>30</v>
      </c>
      <c r="H18" s="4">
        <v>7.9</v>
      </c>
      <c r="I18" s="4" t="s">
        <v>12</v>
      </c>
      <c r="J18" s="10" t="s">
        <v>12</v>
      </c>
      <c r="K18" s="4">
        <v>0.25</v>
      </c>
      <c r="L18" s="10"/>
    </row>
    <row r="19" spans="1:12" x14ac:dyDescent="0.25">
      <c r="A19" s="3">
        <v>40639</v>
      </c>
      <c r="B19" s="2" t="s">
        <v>112</v>
      </c>
      <c r="C19" s="2">
        <v>3</v>
      </c>
      <c r="D19" s="15">
        <v>0.56111111111111112</v>
      </c>
      <c r="E19" s="4">
        <v>0.71</v>
      </c>
      <c r="F19" s="10">
        <v>23.7</v>
      </c>
      <c r="G19" s="4">
        <v>29</v>
      </c>
      <c r="H19" s="4">
        <v>8</v>
      </c>
      <c r="I19" s="4" t="s">
        <v>12</v>
      </c>
      <c r="J19" s="10" t="s">
        <v>12</v>
      </c>
      <c r="K19" s="4">
        <v>0.71</v>
      </c>
      <c r="L19" s="10"/>
    </row>
    <row r="20" spans="1:12" x14ac:dyDescent="0.25">
      <c r="A20" s="3">
        <v>40667</v>
      </c>
      <c r="B20" s="2" t="s">
        <v>112</v>
      </c>
      <c r="C20" s="2">
        <v>1</v>
      </c>
      <c r="D20" s="15">
        <v>0.42499999999999999</v>
      </c>
      <c r="E20" s="4">
        <v>0.5</v>
      </c>
      <c r="F20" s="10">
        <v>26.6</v>
      </c>
      <c r="G20" s="4">
        <v>30.6</v>
      </c>
      <c r="H20" s="4">
        <v>7.8</v>
      </c>
      <c r="I20" s="4">
        <v>5.13</v>
      </c>
      <c r="J20" s="10">
        <v>75.7</v>
      </c>
      <c r="K20" s="4">
        <v>0.5</v>
      </c>
      <c r="L20" s="10"/>
    </row>
    <row r="21" spans="1:12" x14ac:dyDescent="0.25">
      <c r="A21" s="3">
        <v>40667</v>
      </c>
      <c r="B21" s="2" t="s">
        <v>112</v>
      </c>
      <c r="C21" s="2">
        <v>2</v>
      </c>
      <c r="D21" s="15">
        <v>0.52847222222222223</v>
      </c>
      <c r="E21" s="4">
        <v>0.75</v>
      </c>
      <c r="F21" s="10">
        <v>28.1</v>
      </c>
      <c r="G21" s="4">
        <v>29.8</v>
      </c>
      <c r="H21" s="4">
        <v>7.9</v>
      </c>
      <c r="I21" s="4">
        <v>4.72</v>
      </c>
      <c r="J21" s="10">
        <v>72.599999999999994</v>
      </c>
      <c r="K21" s="4">
        <v>0.75</v>
      </c>
      <c r="L21" s="10"/>
    </row>
    <row r="22" spans="1:12" x14ac:dyDescent="0.25">
      <c r="A22" s="3">
        <v>40667</v>
      </c>
      <c r="B22" s="2" t="s">
        <v>112</v>
      </c>
      <c r="C22" s="2">
        <v>3</v>
      </c>
      <c r="D22" s="15">
        <v>0.56805555555555554</v>
      </c>
      <c r="E22" s="4">
        <v>0.5</v>
      </c>
      <c r="F22" s="10">
        <v>28.3</v>
      </c>
      <c r="G22" s="4">
        <v>28.6</v>
      </c>
      <c r="H22" s="4">
        <v>7.8</v>
      </c>
      <c r="I22" s="4">
        <v>3.33</v>
      </c>
      <c r="J22" s="10">
        <v>48.3</v>
      </c>
      <c r="K22" s="4">
        <v>0.5</v>
      </c>
      <c r="L22" s="10"/>
    </row>
    <row r="23" spans="1:12" x14ac:dyDescent="0.25">
      <c r="A23" s="3">
        <v>40695</v>
      </c>
      <c r="B23" s="2" t="s">
        <v>112</v>
      </c>
      <c r="C23" s="2">
        <v>1</v>
      </c>
      <c r="D23" s="15">
        <v>0.3444444444444445</v>
      </c>
      <c r="E23" s="4">
        <v>0.65</v>
      </c>
      <c r="F23" s="10">
        <v>27.5</v>
      </c>
      <c r="G23" s="4">
        <v>31.9</v>
      </c>
      <c r="H23" s="4">
        <v>7.7</v>
      </c>
      <c r="I23" s="4">
        <v>4.08</v>
      </c>
      <c r="J23" s="10">
        <v>63</v>
      </c>
      <c r="K23" s="4">
        <v>0.65</v>
      </c>
      <c r="L23" s="10"/>
    </row>
    <row r="24" spans="1:12" x14ac:dyDescent="0.25">
      <c r="A24" s="3">
        <v>40695</v>
      </c>
      <c r="B24" s="2" t="s">
        <v>112</v>
      </c>
      <c r="C24" s="2">
        <v>2</v>
      </c>
      <c r="D24" s="15">
        <v>0.45347222222222222</v>
      </c>
      <c r="E24" s="4">
        <v>0.65</v>
      </c>
      <c r="F24" s="10">
        <v>28.2</v>
      </c>
      <c r="G24" s="4">
        <v>31.1</v>
      </c>
      <c r="H24" s="4">
        <v>7.8</v>
      </c>
      <c r="I24" s="4">
        <v>5.2</v>
      </c>
      <c r="J24" s="10">
        <v>79.5</v>
      </c>
      <c r="K24" s="4">
        <v>0.65</v>
      </c>
      <c r="L24" s="10"/>
    </row>
    <row r="25" spans="1:12" x14ac:dyDescent="0.25">
      <c r="A25" s="3">
        <v>40695</v>
      </c>
      <c r="B25" s="2" t="s">
        <v>112</v>
      </c>
      <c r="C25" s="2">
        <v>3</v>
      </c>
      <c r="D25" s="15">
        <v>0.4909722222222222</v>
      </c>
      <c r="E25" s="4">
        <v>0.65</v>
      </c>
      <c r="F25" s="10">
        <v>29</v>
      </c>
      <c r="G25" s="4">
        <v>30.7</v>
      </c>
      <c r="H25" s="4">
        <v>7.8</v>
      </c>
      <c r="I25" s="4">
        <v>5.62</v>
      </c>
      <c r="J25" s="10">
        <v>84.7</v>
      </c>
      <c r="K25" s="4">
        <v>0.65</v>
      </c>
      <c r="L25" s="10"/>
    </row>
    <row r="26" spans="1:12" x14ac:dyDescent="0.25">
      <c r="A26" s="3">
        <v>40730</v>
      </c>
      <c r="B26" s="2" t="s">
        <v>112</v>
      </c>
      <c r="C26" s="2">
        <v>1</v>
      </c>
      <c r="D26" s="15">
        <v>0.31736111111111115</v>
      </c>
      <c r="E26" s="4">
        <v>0.5</v>
      </c>
      <c r="F26" s="10">
        <v>29</v>
      </c>
      <c r="G26" s="4">
        <v>26.9</v>
      </c>
      <c r="H26" s="4">
        <v>7.7</v>
      </c>
      <c r="I26" s="4">
        <v>3.54</v>
      </c>
      <c r="J26" s="10">
        <v>54</v>
      </c>
      <c r="K26" s="4">
        <v>0.5</v>
      </c>
      <c r="L26" s="10"/>
    </row>
    <row r="27" spans="1:12" x14ac:dyDescent="0.25">
      <c r="A27" s="3">
        <v>40730</v>
      </c>
      <c r="B27" s="2" t="s">
        <v>112</v>
      </c>
      <c r="C27" s="2">
        <v>2</v>
      </c>
      <c r="D27" s="15">
        <v>0.41250000000000003</v>
      </c>
      <c r="E27" s="4">
        <v>0.57999999999999996</v>
      </c>
      <c r="F27" s="10">
        <v>29.2</v>
      </c>
      <c r="G27" s="4">
        <v>27</v>
      </c>
      <c r="H27" s="4">
        <v>7.8</v>
      </c>
      <c r="I27" s="4">
        <v>4.3899999999999997</v>
      </c>
      <c r="J27" s="10">
        <v>65.900000000000006</v>
      </c>
      <c r="K27" s="4">
        <v>0.34</v>
      </c>
      <c r="L27" s="10"/>
    </row>
    <row r="28" spans="1:12" x14ac:dyDescent="0.25">
      <c r="A28" s="3">
        <v>40730</v>
      </c>
      <c r="B28" s="2" t="s">
        <v>112</v>
      </c>
      <c r="C28" s="2">
        <v>3</v>
      </c>
      <c r="D28" s="15">
        <v>0.4548611111111111</v>
      </c>
      <c r="E28" s="4">
        <v>0.48</v>
      </c>
      <c r="F28" s="10">
        <v>29.9</v>
      </c>
      <c r="G28" s="4">
        <v>25.9</v>
      </c>
      <c r="H28" s="4">
        <v>7.8</v>
      </c>
      <c r="I28" s="4">
        <v>5.24</v>
      </c>
      <c r="J28" s="10">
        <v>80</v>
      </c>
      <c r="K28" s="4">
        <v>0.48</v>
      </c>
      <c r="L28" s="10"/>
    </row>
    <row r="29" spans="1:12" x14ac:dyDescent="0.25">
      <c r="A29" s="3">
        <v>40757</v>
      </c>
      <c r="B29" s="2" t="s">
        <v>112</v>
      </c>
      <c r="C29" s="2">
        <v>1</v>
      </c>
      <c r="D29" s="15">
        <v>0.32291666666666669</v>
      </c>
      <c r="E29" s="4">
        <v>0.5</v>
      </c>
      <c r="F29" s="10">
        <v>30.5</v>
      </c>
      <c r="G29" s="4">
        <v>19.3</v>
      </c>
      <c r="H29" s="4">
        <v>7.7</v>
      </c>
      <c r="I29" s="4">
        <v>3.42</v>
      </c>
      <c r="J29" s="10">
        <v>50.7</v>
      </c>
      <c r="K29" s="4">
        <v>0.5</v>
      </c>
      <c r="L29" s="10"/>
    </row>
    <row r="30" spans="1:12" x14ac:dyDescent="0.25">
      <c r="A30" s="3">
        <v>40757</v>
      </c>
      <c r="B30" s="2" t="s">
        <v>112</v>
      </c>
      <c r="C30" s="2">
        <v>2</v>
      </c>
      <c r="D30" s="15">
        <v>0.4152777777777778</v>
      </c>
      <c r="E30" s="4">
        <v>0.6</v>
      </c>
      <c r="F30" s="10">
        <v>31</v>
      </c>
      <c r="G30" s="4">
        <v>19.7</v>
      </c>
      <c r="H30" s="4">
        <v>7.7</v>
      </c>
      <c r="I30" s="4">
        <v>3.9</v>
      </c>
      <c r="J30" s="10">
        <v>60</v>
      </c>
      <c r="K30" s="4">
        <v>0.6</v>
      </c>
      <c r="L30" s="10"/>
    </row>
    <row r="31" spans="1:12" x14ac:dyDescent="0.25">
      <c r="A31" s="3">
        <v>40757</v>
      </c>
      <c r="B31" s="2" t="s">
        <v>112</v>
      </c>
      <c r="C31" s="2">
        <v>3</v>
      </c>
      <c r="D31" s="15">
        <v>0.45624999999999999</v>
      </c>
      <c r="E31" s="4">
        <v>0.7</v>
      </c>
      <c r="F31" s="10">
        <v>31.3</v>
      </c>
      <c r="G31" s="4">
        <v>19</v>
      </c>
      <c r="H31" s="4">
        <v>7.8</v>
      </c>
      <c r="I31" s="4">
        <v>4.09</v>
      </c>
      <c r="J31" s="10">
        <v>60.4</v>
      </c>
      <c r="K31" s="4">
        <v>0.7</v>
      </c>
      <c r="L31" s="10"/>
    </row>
    <row r="32" spans="1:12" x14ac:dyDescent="0.25">
      <c r="A32" s="3">
        <v>40793</v>
      </c>
      <c r="B32" s="2" t="s">
        <v>112</v>
      </c>
      <c r="C32" s="2">
        <v>1</v>
      </c>
      <c r="D32" s="15">
        <v>0.34513888888888888</v>
      </c>
      <c r="E32" s="4">
        <v>0.5</v>
      </c>
      <c r="F32" s="10">
        <v>28.3</v>
      </c>
      <c r="G32" s="4">
        <v>12.7</v>
      </c>
      <c r="H32" s="4">
        <v>7.6</v>
      </c>
      <c r="I32" s="4">
        <v>3.79</v>
      </c>
      <c r="J32" s="10">
        <v>52.6</v>
      </c>
      <c r="K32" s="4">
        <v>0.5</v>
      </c>
      <c r="L32" s="10"/>
    </row>
    <row r="33" spans="1:12" x14ac:dyDescent="0.25">
      <c r="A33" s="3">
        <v>40793</v>
      </c>
      <c r="B33" s="2" t="s">
        <v>112</v>
      </c>
      <c r="C33" s="2">
        <v>2</v>
      </c>
      <c r="D33" s="15">
        <v>0.43055555555555558</v>
      </c>
      <c r="E33" s="4">
        <v>0.6</v>
      </c>
      <c r="F33" s="10">
        <v>29.4</v>
      </c>
      <c r="G33" s="4">
        <v>13.2</v>
      </c>
      <c r="H33" s="4">
        <v>7.7</v>
      </c>
      <c r="I33" s="4">
        <v>3.61</v>
      </c>
      <c r="J33" s="10">
        <v>51</v>
      </c>
      <c r="K33" s="4">
        <v>0.6</v>
      </c>
      <c r="L33" s="10"/>
    </row>
    <row r="34" spans="1:12" x14ac:dyDescent="0.25">
      <c r="A34" s="3">
        <v>40793</v>
      </c>
      <c r="B34" s="2" t="s">
        <v>112</v>
      </c>
      <c r="C34" s="2">
        <v>3</v>
      </c>
      <c r="D34" s="15">
        <v>0.46388888888888885</v>
      </c>
      <c r="E34" s="4">
        <v>0.5</v>
      </c>
      <c r="F34" s="10">
        <v>29.3</v>
      </c>
      <c r="G34" s="4">
        <v>10</v>
      </c>
      <c r="H34" s="4">
        <v>7.7</v>
      </c>
      <c r="I34" s="4">
        <v>3.83</v>
      </c>
      <c r="J34" s="10">
        <v>52.4</v>
      </c>
      <c r="K34" s="4">
        <v>0.5</v>
      </c>
      <c r="L34" s="10"/>
    </row>
    <row r="35" spans="1:12" x14ac:dyDescent="0.25">
      <c r="A35" s="3">
        <v>40813</v>
      </c>
      <c r="B35" s="2" t="s">
        <v>112</v>
      </c>
      <c r="C35" s="2">
        <v>1</v>
      </c>
      <c r="D35" s="15">
        <v>0.625</v>
      </c>
      <c r="E35" s="4">
        <v>0.75</v>
      </c>
      <c r="F35" s="10">
        <v>29.6</v>
      </c>
      <c r="G35" s="4">
        <v>14.8</v>
      </c>
      <c r="H35" s="4">
        <v>7.4</v>
      </c>
      <c r="I35" s="4">
        <v>3.64</v>
      </c>
      <c r="J35" s="10">
        <v>52.2</v>
      </c>
      <c r="K35" s="4">
        <v>0.75</v>
      </c>
      <c r="L35" s="10"/>
    </row>
    <row r="36" spans="1:12" x14ac:dyDescent="0.25">
      <c r="A36" s="3">
        <v>40813</v>
      </c>
      <c r="B36" s="2" t="s">
        <v>112</v>
      </c>
      <c r="C36" s="2">
        <v>2</v>
      </c>
      <c r="D36" s="15">
        <v>0.7006944444444444</v>
      </c>
      <c r="E36" s="4">
        <v>0.5</v>
      </c>
      <c r="F36" s="10">
        <v>29.8</v>
      </c>
      <c r="G36" s="4">
        <v>15.2</v>
      </c>
      <c r="H36" s="4">
        <v>7.4</v>
      </c>
      <c r="I36" s="4">
        <v>3.38</v>
      </c>
      <c r="J36" s="10">
        <v>49</v>
      </c>
      <c r="K36" s="4">
        <v>0.5</v>
      </c>
      <c r="L36" s="10"/>
    </row>
    <row r="37" spans="1:12" x14ac:dyDescent="0.25">
      <c r="A37" s="3">
        <v>40813</v>
      </c>
      <c r="B37" s="2" t="s">
        <v>112</v>
      </c>
      <c r="C37" s="2">
        <v>3</v>
      </c>
      <c r="D37" s="15">
        <v>0.59097222222222223</v>
      </c>
      <c r="E37" s="4">
        <v>0.75</v>
      </c>
      <c r="F37" s="10">
        <v>30.1</v>
      </c>
      <c r="G37" s="4">
        <v>12.3</v>
      </c>
      <c r="H37" s="4">
        <v>7.5</v>
      </c>
      <c r="I37" s="4">
        <v>3.38</v>
      </c>
      <c r="J37" s="10">
        <v>40.1</v>
      </c>
      <c r="K37" s="4">
        <v>0.5</v>
      </c>
      <c r="L37" s="10"/>
    </row>
    <row r="38" spans="1:12" x14ac:dyDescent="0.25">
      <c r="A38" s="3">
        <v>40821</v>
      </c>
      <c r="B38" s="2" t="s">
        <v>112</v>
      </c>
      <c r="C38" s="2">
        <v>1</v>
      </c>
      <c r="D38" s="15">
        <v>0.71111111111111114</v>
      </c>
      <c r="E38" s="4">
        <v>1</v>
      </c>
      <c r="F38" s="10">
        <v>27.8</v>
      </c>
      <c r="G38" s="4">
        <v>20.8</v>
      </c>
      <c r="H38" s="4">
        <v>7.9</v>
      </c>
      <c r="I38" s="4">
        <v>5.15</v>
      </c>
      <c r="J38" s="10">
        <v>73.7</v>
      </c>
      <c r="K38" s="4">
        <v>1</v>
      </c>
      <c r="L38" s="10"/>
    </row>
    <row r="39" spans="1:12" x14ac:dyDescent="0.25">
      <c r="A39" s="3">
        <v>40821</v>
      </c>
      <c r="B39" s="2" t="s">
        <v>112</v>
      </c>
      <c r="C39" s="2">
        <v>2</v>
      </c>
      <c r="D39" s="15">
        <v>0.73819444444444438</v>
      </c>
      <c r="E39" s="4">
        <v>1</v>
      </c>
      <c r="F39" s="10">
        <v>27.3</v>
      </c>
      <c r="G39" s="4">
        <v>19</v>
      </c>
      <c r="H39" s="4">
        <v>7.9</v>
      </c>
      <c r="I39" s="4">
        <v>6.16</v>
      </c>
      <c r="J39" s="10">
        <v>85.3</v>
      </c>
      <c r="K39" s="4">
        <v>0.5</v>
      </c>
      <c r="L39" s="10"/>
    </row>
    <row r="40" spans="1:12" x14ac:dyDescent="0.25">
      <c r="A40" s="3">
        <v>40821</v>
      </c>
      <c r="B40" s="2" t="s">
        <v>112</v>
      </c>
      <c r="C40" s="2">
        <v>3</v>
      </c>
      <c r="D40" s="15">
        <v>0.76180555555555562</v>
      </c>
      <c r="E40" s="4">
        <v>1</v>
      </c>
      <c r="F40" s="10">
        <v>27.1</v>
      </c>
      <c r="G40" s="4">
        <v>17.600000000000001</v>
      </c>
      <c r="H40" s="4">
        <v>7.8</v>
      </c>
      <c r="I40" s="4">
        <v>5.68</v>
      </c>
      <c r="J40" s="10">
        <v>77.400000000000006</v>
      </c>
      <c r="K40" s="4">
        <v>0.5</v>
      </c>
      <c r="L40" s="10"/>
    </row>
    <row r="41" spans="1:12" x14ac:dyDescent="0.25">
      <c r="A41" s="3">
        <v>40849</v>
      </c>
      <c r="B41" s="2" t="s">
        <v>112</v>
      </c>
      <c r="C41" s="2">
        <v>1</v>
      </c>
      <c r="D41" s="15">
        <v>0.4152777777777778</v>
      </c>
      <c r="E41" s="4">
        <v>0.75</v>
      </c>
      <c r="F41" s="10">
        <v>23.3</v>
      </c>
      <c r="G41" s="4">
        <v>5.7</v>
      </c>
      <c r="H41" s="4">
        <v>7.7</v>
      </c>
      <c r="I41" s="4">
        <v>6.6</v>
      </c>
      <c r="J41" s="10">
        <v>79.599999999999994</v>
      </c>
      <c r="K41" s="4">
        <v>0.75</v>
      </c>
      <c r="L41" s="10"/>
    </row>
    <row r="42" spans="1:12" x14ac:dyDescent="0.25">
      <c r="A42" s="3">
        <v>40849</v>
      </c>
      <c r="B42" s="2" t="s">
        <v>112</v>
      </c>
      <c r="C42" s="2">
        <v>2</v>
      </c>
      <c r="D42" s="15">
        <v>0.42708333333333331</v>
      </c>
      <c r="E42" s="4">
        <v>0.7</v>
      </c>
      <c r="F42" s="10">
        <v>23.1</v>
      </c>
      <c r="G42" s="4">
        <v>7.7</v>
      </c>
      <c r="H42" s="4">
        <v>7.7</v>
      </c>
      <c r="I42" s="4">
        <v>6.6</v>
      </c>
      <c r="J42" s="10">
        <v>80.099999999999994</v>
      </c>
      <c r="K42" s="4">
        <v>0.7</v>
      </c>
      <c r="L42" s="10"/>
    </row>
    <row r="43" spans="1:12" x14ac:dyDescent="0.25">
      <c r="A43" s="3">
        <v>40849</v>
      </c>
      <c r="B43" s="2" t="s">
        <v>112</v>
      </c>
      <c r="C43" s="2">
        <v>3</v>
      </c>
      <c r="D43" s="15">
        <v>0.44444444444444442</v>
      </c>
      <c r="E43" s="4">
        <v>0.75</v>
      </c>
      <c r="F43" s="10">
        <v>23.2</v>
      </c>
      <c r="G43" s="4">
        <v>3.2</v>
      </c>
      <c r="H43" s="4">
        <v>7.8</v>
      </c>
      <c r="I43" s="4">
        <v>6.51</v>
      </c>
      <c r="J43" s="10">
        <v>77.099999999999994</v>
      </c>
      <c r="K43" s="4">
        <v>0.75</v>
      </c>
      <c r="L43" s="10"/>
    </row>
    <row r="44" spans="1:12" x14ac:dyDescent="0.25">
      <c r="A44" s="3">
        <v>40883</v>
      </c>
      <c r="B44" s="2" t="s">
        <v>112</v>
      </c>
      <c r="C44" s="2">
        <v>1</v>
      </c>
      <c r="D44" s="15">
        <v>0.34722222222222227</v>
      </c>
      <c r="E44" s="4">
        <v>1</v>
      </c>
      <c r="F44" s="10">
        <v>20.5</v>
      </c>
      <c r="G44" s="4">
        <v>15.7</v>
      </c>
      <c r="H44" s="4">
        <v>7.9</v>
      </c>
      <c r="I44" s="4">
        <v>6.78</v>
      </c>
      <c r="J44" s="10">
        <v>81.599999999999994</v>
      </c>
      <c r="K44" s="4">
        <v>1</v>
      </c>
      <c r="L44" s="10"/>
    </row>
    <row r="45" spans="1:12" x14ac:dyDescent="0.25">
      <c r="A45" s="3">
        <v>40883</v>
      </c>
      <c r="B45" s="2" t="s">
        <v>112</v>
      </c>
      <c r="C45" s="2">
        <v>2</v>
      </c>
      <c r="D45" s="15">
        <v>0.36319444444444443</v>
      </c>
      <c r="E45" s="4">
        <v>0.8</v>
      </c>
      <c r="F45" s="10">
        <v>20.8</v>
      </c>
      <c r="G45" s="4">
        <v>19.7</v>
      </c>
      <c r="H45" s="4">
        <v>7.9</v>
      </c>
      <c r="I45" s="4">
        <v>6.05</v>
      </c>
      <c r="J45" s="10">
        <v>76.2</v>
      </c>
      <c r="K45" s="4">
        <v>0.8</v>
      </c>
      <c r="L45" s="10"/>
    </row>
    <row r="46" spans="1:12" x14ac:dyDescent="0.25">
      <c r="A46" s="3">
        <v>40883</v>
      </c>
      <c r="B46" s="2" t="s">
        <v>112</v>
      </c>
      <c r="C46" s="2">
        <v>3</v>
      </c>
      <c r="D46" s="15">
        <v>0.38055555555555554</v>
      </c>
      <c r="E46" s="4">
        <v>1.1000000000000001</v>
      </c>
      <c r="F46" s="10">
        <v>21</v>
      </c>
      <c r="G46" s="4">
        <v>18.3</v>
      </c>
      <c r="H46" s="4">
        <v>7.9</v>
      </c>
      <c r="I46" s="4">
        <v>6.15</v>
      </c>
      <c r="J46" s="10">
        <v>74.8</v>
      </c>
      <c r="K46" s="4">
        <v>1.1000000000000001</v>
      </c>
      <c r="L46" s="10"/>
    </row>
  </sheetData>
  <conditionalFormatting sqref="A2:A46">
    <cfRule type="expression" dxfId="3" priority="3" stopIfTrue="1">
      <formula>IF(CELL("type",A2)="v","TRUE","FALSE")</formula>
    </cfRule>
    <cfRule type="expression" dxfId="2" priority="4" stopIfTrue="1">
      <formula>IF(CELL("type",A2)="l","TRUE","FALSE")</formula>
    </cfRule>
  </conditionalFormatting>
  <conditionalFormatting sqref="A1">
    <cfRule type="expression" dxfId="1" priority="1" stopIfTrue="1">
      <formula>IF(CELL("type",A1)="v","TRUE","FALSE")</formula>
    </cfRule>
    <cfRule type="expression" dxfId="0" priority="2" stopIfTrue="1">
      <formula>IF(CELL("type",A1)="l","TRUE","FALSE")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Repro</vt:lpstr>
      <vt:lpstr>CI</vt:lpstr>
      <vt:lpstr>Dermo</vt:lpstr>
      <vt:lpstr>WQ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Maloney, Nicole</dc:creator>
  <cp:lastModifiedBy>Maloney, Nicole</cp:lastModifiedBy>
  <dcterms:created xsi:type="dcterms:W3CDTF">2022-08-23T12:38:17Z</dcterms:created>
  <dcterms:modified xsi:type="dcterms:W3CDTF">2022-08-23T12:48:20Z</dcterms:modified>
</cp:coreProperties>
</file>